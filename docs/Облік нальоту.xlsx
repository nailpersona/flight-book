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тан БГ" sheetId="1" r:id="rId5"/>
    <sheet state="visible" name="Main" sheetId="2" r:id="rId6"/>
    <sheet state="visible" name="Підсумки" sheetId="3" r:id="rId7"/>
    <sheet state="visible" name="Адмін" sheetId="4" r:id="rId8"/>
    <sheet state="visible" name="Users" sheetId="5" r:id="rId9"/>
    <sheet state="visible" name="Sessions" sheetId="6" r:id="rId10"/>
  </sheets>
  <definedNames>
    <definedName hidden="1" localSheetId="1" name="_xlnm._FilterDatabase">Main!$A$4:$G$199</definedName>
  </definedNames>
  <calcPr/>
</workbook>
</file>

<file path=xl/sharedStrings.xml><?xml version="1.0" encoding="utf-8"?>
<sst xmlns="http://schemas.openxmlformats.org/spreadsheetml/2006/main" count="2427" uniqueCount="977">
  <si>
    <t>Рівень натренованості льотного складу</t>
  </si>
  <si>
    <t>Стан на:</t>
  </si>
  <si>
    <t>№
п/п</t>
  </si>
  <si>
    <t>Посада</t>
  </si>
  <si>
    <t>П.І.Б.</t>
  </si>
  <si>
    <t>Військова класність</t>
  </si>
  <si>
    <t>Випробувальна класність</t>
  </si>
  <si>
    <t>Наявність</t>
  </si>
  <si>
    <t>Тип ЛА</t>
  </si>
  <si>
    <t>Перерви за МУ</t>
  </si>
  <si>
    <t>Перевірки за видами ЛП</t>
  </si>
  <si>
    <t>Таблиця комісування</t>
  </si>
  <si>
    <t>Перерви за видами ЛП</t>
  </si>
  <si>
    <t>День</t>
  </si>
  <si>
    <t>Ніч</t>
  </si>
  <si>
    <t>ПМУ</t>
  </si>
  <si>
    <t>СМУ</t>
  </si>
  <si>
    <t>ВМП</t>
  </si>
  <si>
    <t>Методика льотних випробувань</t>
  </si>
  <si>
    <t>Техніка пілотування</t>
  </si>
  <si>
    <t>Захід на посадку за приладами</t>
  </si>
  <si>
    <t>ТП за дублюючими
приладами</t>
  </si>
  <si>
    <t>ТП з ІВД</t>
  </si>
  <si>
    <t>Повітряна навігація</t>
  </si>
  <si>
    <t>Бойове застосівання</t>
  </si>
  <si>
    <t>З інструкторського</t>
  </si>
  <si>
    <t>З льотної підготовки</t>
  </si>
  <si>
    <t>Аварійне залишення</t>
  </si>
  <si>
    <t>Ст. 205 ПРІАЗ</t>
  </si>
  <si>
    <t>ЛЛК / УМО</t>
  </si>
  <si>
    <t>Відпустка</t>
  </si>
  <si>
    <t>Стрибки з парашютом</t>
  </si>
  <si>
    <t>Складний пілотаж</t>
  </si>
  <si>
    <t>ТП та навігація на малих висотах</t>
  </si>
  <si>
    <t>ТП та навігація на ГМВ (з викор ОНБ)</t>
  </si>
  <si>
    <t>Бойове застосування</t>
  </si>
  <si>
    <t>Групова злітаність</t>
  </si>
  <si>
    <t>Польоти на десантування</t>
  </si>
  <si>
    <t>Політ на РСНГ</t>
  </si>
  <si>
    <t>Допустимі перерви</t>
  </si>
  <si>
    <t>1</t>
  </si>
  <si>
    <t>3,5</t>
  </si>
  <si>
    <t>3,0</t>
  </si>
  <si>
    <t>2,5</t>
  </si>
  <si>
    <t>2,0</t>
  </si>
  <si>
    <t>12</t>
  </si>
  <si>
    <t>6</t>
  </si>
  <si>
    <t>36</t>
  </si>
  <si>
    <t>4</t>
  </si>
  <si>
    <t>2</t>
  </si>
  <si>
    <t>1,5</t>
  </si>
  <si>
    <t>3</t>
  </si>
  <si>
    <t>Заст нач. ДНДІ з ЛП</t>
  </si>
  <si>
    <t>Су-24</t>
  </si>
  <si>
    <t>п-к Чиж С.Т.</t>
  </si>
  <si>
    <t>Л-39</t>
  </si>
  <si>
    <t>Нач. БзП ДНДІ</t>
  </si>
  <si>
    <t>Мі-8</t>
  </si>
  <si>
    <t>п/п-к Сокорський Ю.М.</t>
  </si>
  <si>
    <t>Мі-24</t>
  </si>
  <si>
    <t>Головний штурман</t>
  </si>
  <si>
    <t>п/п-к Шуляк В.М.</t>
  </si>
  <si>
    <t>Начальник ЛМВ</t>
  </si>
  <si>
    <t>Начальник ЛВК</t>
  </si>
  <si>
    <t>п-к Чебаков М.М.</t>
  </si>
  <si>
    <t>Зв.</t>
  </si>
  <si>
    <t>ЗН ЛВК</t>
  </si>
  <si>
    <t>п/п-к Гагін Є.Ю.</t>
  </si>
  <si>
    <t>ЗН ЛВК з ЛП</t>
  </si>
  <si>
    <t>Вп</t>
  </si>
  <si>
    <t>Ми-8</t>
  </si>
  <si>
    <t>п/п-к Кошель С.М.</t>
  </si>
  <si>
    <t>Ми-2</t>
  </si>
  <si>
    <t>Начальник БзП</t>
  </si>
  <si>
    <t>ПШ</t>
  </si>
  <si>
    <t>п-к Якименко С.М.</t>
  </si>
  <si>
    <t>Ком. ЗАЗ</t>
  </si>
  <si>
    <t>п/п-к Томилко М.М.</t>
  </si>
  <si>
    <t>Су-27</t>
  </si>
  <si>
    <t>Ком ЗАЗ</t>
  </si>
  <si>
    <t>п/п-к Філенко М.М.</t>
  </si>
  <si>
    <t>Ст. льотчик</t>
  </si>
  <si>
    <t>Бор</t>
  </si>
  <si>
    <t>п/п-к Потапов В.І.</t>
  </si>
  <si>
    <t>п/п-к Гуменник С.М.</t>
  </si>
  <si>
    <t>Ми-24</t>
  </si>
  <si>
    <t>п/п-к Герус В.І.</t>
  </si>
  <si>
    <t>МіГ-29</t>
  </si>
  <si>
    <t>Ст. штурман</t>
  </si>
  <si>
    <t>п/п-к Черната С.С.</t>
  </si>
  <si>
    <t>Ст. борт. Технік</t>
  </si>
  <si>
    <t>м-р Апляс Д.А.</t>
  </si>
  <si>
    <t>Ст. борт. Інженер - ІАС</t>
  </si>
  <si>
    <t>м-р Ординович М.Г.</t>
  </si>
  <si>
    <t>Борт. Технік</t>
  </si>
  <si>
    <t>к-н Кисіль О.В.</t>
  </si>
  <si>
    <t>Борт. Механік</t>
  </si>
  <si>
    <t>Зв</t>
  </si>
  <si>
    <t>Ан-26</t>
  </si>
  <si>
    <t>шт.с-нт Полуян Д.В.</t>
  </si>
  <si>
    <t>**</t>
  </si>
  <si>
    <t xml:space="preserve">Всього </t>
  </si>
  <si>
    <t>Підготовлені по МУ</t>
  </si>
  <si>
    <t>Боєготові по МУ</t>
  </si>
  <si>
    <t>Боєготові в наявності</t>
  </si>
  <si>
    <t>6,0</t>
  </si>
  <si>
    <t>ПОДЕННИЙ ОБЛІК НАЛЬОТУ</t>
  </si>
  <si>
    <t>Бойових
заст.</t>
  </si>
  <si>
    <t>Загальний наліт</t>
  </si>
  <si>
    <t>Наліт на випроб</t>
  </si>
  <si>
    <t>К-сть</t>
  </si>
  <si>
    <t>Час</t>
  </si>
  <si>
    <t>Заг. К-сть</t>
  </si>
  <si>
    <t>Заг. Час</t>
  </si>
  <si>
    <t>Дата</t>
  </si>
  <si>
    <t>ПІБ</t>
  </si>
  <si>
    <t>Тип ПС</t>
  </si>
  <si>
    <t>Час доби МУ</t>
  </si>
  <si>
    <t>В якості кого</t>
  </si>
  <si>
    <t>№ КБП</t>
  </si>
  <si>
    <t>Вид пол.</t>
  </si>
  <si>
    <t>Польотів</t>
  </si>
  <si>
    <t>Наліт</t>
  </si>
  <si>
    <t>Бойових заст.</t>
  </si>
  <si>
    <t>Примітки</t>
  </si>
  <si>
    <t>ДПМУ</t>
  </si>
  <si>
    <t>Ком Е</t>
  </si>
  <si>
    <t>Бойовий</t>
  </si>
  <si>
    <t>Вивід з під удару</t>
  </si>
  <si>
    <t>Випробувальний</t>
  </si>
  <si>
    <t>Шифр: Грація-27</t>
  </si>
  <si>
    <t>ДСМУ</t>
  </si>
  <si>
    <t>ДВМП</t>
  </si>
  <si>
    <t>СБП</t>
  </si>
  <si>
    <t>Учбово-тренув.</t>
  </si>
  <si>
    <t>УТП</t>
  </si>
  <si>
    <t xml:space="preserve">Шифр: Альтернатива </t>
  </si>
  <si>
    <t xml:space="preserve">Отримав допуск з інструк.о сидіння до польотів в ДСМУ </t>
  </si>
  <si>
    <t xml:space="preserve">Отримав допуск до тренув. на розгін до надзвукової швидкості, на стелю літака та на повітряний бій з ударними літаками (розвідниками) у стратосфері. </t>
  </si>
  <si>
    <t>ГМВ</t>
  </si>
  <si>
    <t xml:space="preserve"> Вивізна програма в якості інструктора.</t>
  </si>
  <si>
    <t>Продов. терміни перевіркина СП та наатаки НЦ зі СВМ,продов. вивізну прграму в якості інструктора.</t>
  </si>
  <si>
    <t xml:space="preserve"> Допуск на ТП на Н сер, мал в якості інструктора</t>
  </si>
  <si>
    <t>СБП на ПМВ.</t>
  </si>
  <si>
    <t>НПМУ</t>
  </si>
  <si>
    <t>Продов. по приборах та ППС в ОНБ, майданчик вночі.</t>
  </si>
  <si>
    <t>Перевірка ТП, ІВД</t>
  </si>
  <si>
    <t>ТП та навіг на ГМВ</t>
  </si>
  <si>
    <t xml:space="preserve"> Допуск на ТП на ГМВ в якості інструктора</t>
  </si>
  <si>
    <t>Шифр: Центавр ГМВ, СП, Пара</t>
  </si>
  <si>
    <t>Маршрут</t>
  </si>
  <si>
    <t>Шифр: Центавр</t>
  </si>
  <si>
    <t>Шифр: Сапсан. Продов. стратосфера, ДВМП, СП</t>
  </si>
  <si>
    <t xml:space="preserve"> ГМВ</t>
  </si>
  <si>
    <t>"Сімка-2, ГМВ</t>
  </si>
  <si>
    <t>"Сімка-2, практична стеля</t>
  </si>
  <si>
    <t>ГМВ, ОНБ</t>
  </si>
  <si>
    <t>"Сімка-2",практична стеля, перевірка за МВЛ</t>
  </si>
  <si>
    <t>За методиками</t>
  </si>
  <si>
    <t xml:space="preserve"> впр. 115(1\2), 116(1)</t>
  </si>
  <si>
    <t>Шифр: Сапсан, Центавр</t>
  </si>
  <si>
    <t>"Сімка-2",ГМВ,ОНБ</t>
  </si>
  <si>
    <t>ГМВ,ОНБ</t>
  </si>
  <si>
    <r>
      <rPr>
        <rFont val="Calibri"/>
        <color theme="1"/>
        <sz val="11.0"/>
      </rPr>
      <t>"</t>
    </r>
    <r>
      <rPr>
        <rFont val="Calibri"/>
        <color theme="1"/>
        <sz val="11.0"/>
      </rPr>
      <t>Сімка-2</t>
    </r>
    <r>
      <rPr>
        <rFont val="Calibri"/>
        <color theme="1"/>
        <sz val="11.0"/>
      </rPr>
      <t>"</t>
    </r>
  </si>
  <si>
    <t>Тренув. пілотаж на ГМВ</t>
  </si>
  <si>
    <t>впр. 116(2), 117(1), 117(2), 117(3)</t>
  </si>
  <si>
    <t>СБП, продов. в тренув. польотах день та ніч</t>
  </si>
  <si>
    <t>впр.117(4), інструк. підгот. впр. 201(1), 202(1), 203(4)</t>
  </si>
  <si>
    <r>
      <rPr>
        <rFont val="Calibri"/>
        <color theme="1"/>
        <sz val="11.0"/>
      </rPr>
      <t>впр. 118(2) інструк. підготовка впр. 203(1), 211. Політ у складі екіпажу на крит.і режими польоту (звалювання</t>
    </r>
    <r>
      <rPr>
        <rFont val="Calibri"/>
        <color theme="1"/>
        <sz val="11.0"/>
      </rPr>
      <t>/</t>
    </r>
    <r>
      <rPr>
        <rFont val="Calibri"/>
        <color theme="1"/>
        <sz val="10.0"/>
      </rPr>
      <t>штопор)</t>
    </r>
  </si>
  <si>
    <t>СБП, продов. в тренув. польотах на майданчик обмежених розмірів поза ае. та пошуково-рятув. забез. над сушею</t>
  </si>
  <si>
    <t>"Сімка-2"</t>
  </si>
  <si>
    <t>інстр. під. за впр. 201(2), 202(2), 203(2) отримав допуск до інстр. пол. Політ у ск. екіпажу на критичні режими польоту (звалювання/штопор)</t>
  </si>
  <si>
    <t>ГМВ,практична стеля перевірка за МЛВ</t>
  </si>
  <si>
    <t>Тренувальний пілотаж на ГМВ</t>
  </si>
  <si>
    <t>"Сімка-2", ГМВ, ОНБ</t>
  </si>
  <si>
    <t>Вип. П</t>
  </si>
  <si>
    <t>Вивід з-під удару, Гр. мала висота (ОНБ)</t>
  </si>
  <si>
    <t>Вивід з під удару, ГМВ, під шторкою</t>
  </si>
  <si>
    <t>під шторкою, Вивід з-під удару, Гр. мала висота (ОНБ)</t>
  </si>
  <si>
    <t>Вивід з під удару, ППС</t>
  </si>
  <si>
    <t>ППС, Вивід з-під удару</t>
  </si>
  <si>
    <t>Вивід з-під удару</t>
  </si>
  <si>
    <t>Вивід з під удару, ГМВ</t>
  </si>
  <si>
    <t>МВ, перев ТП за дубл</t>
  </si>
  <si>
    <t>перев ТП за дубл, Мала висота</t>
  </si>
  <si>
    <t>ГМВ, перевірка ТП на СП</t>
  </si>
  <si>
    <t>перевірка ТП на СП, Гр. мала висота (ОНБ)</t>
  </si>
  <si>
    <t>ГМВ, СП</t>
  </si>
  <si>
    <t>Гр. мала висота (ОНБ), Складний пілотаж</t>
  </si>
  <si>
    <t>МВ, перев ТП вночі на МВ</t>
  </si>
  <si>
    <t>перев ТП вночі на МВ, Мала висота</t>
  </si>
  <si>
    <t>МВ, перевірка ТП під шторкою</t>
  </si>
  <si>
    <t>перевірка ТП під шторкою, Мала висота</t>
  </si>
  <si>
    <t>МВ, вивід</t>
  </si>
  <si>
    <t>Мала висота, Вивід з-під удару</t>
  </si>
  <si>
    <t>МВ,Перевірка ТП, пос з ІВД</t>
  </si>
  <si>
    <t>Перевірка ТП, пос з ІВД, Мала висота</t>
  </si>
  <si>
    <t>Вивід, ГМВ</t>
  </si>
  <si>
    <t>Гр. мала висота (ОНБ)</t>
  </si>
  <si>
    <t>На десантування</t>
  </si>
  <si>
    <t>Політ на площадку самоподбором с воздуха на самовдосконалення</t>
  </si>
  <si>
    <t>Політ на майданчик обмеженних розмірів поза аеродром ( на вдосконалення)</t>
  </si>
  <si>
    <t>Політ на майданчик обмеженних розмірів поза аеродромом Впр.10в( на вдосконалення)</t>
  </si>
  <si>
    <t>Гр. мала висота. Вивід з-під удару</t>
  </si>
  <si>
    <t>Перевірка навігації та бойового застосування, на вдосконалення</t>
  </si>
  <si>
    <t>Гр. мала висота (ОНБ), Групова злітаність, Складний пілотаж</t>
  </si>
  <si>
    <t>Продлился днем ПСС , навігація на ПМВ,  тренировочный полет по приборам под шторкой с заходом на посадку с применением посад систем</t>
  </si>
  <si>
    <t>Гр. мала висота</t>
  </si>
  <si>
    <t>Бойове застосування, Гр. мала висота</t>
  </si>
  <si>
    <t>Виконання рятувальних робіт з режиму висіння над сушею,( продлился день ПСС )</t>
  </si>
  <si>
    <t>Підтримання рівня натренованості в складних метеорологічних умовах</t>
  </si>
  <si>
    <t>Тема "Сілует", Гр. мала висота</t>
  </si>
  <si>
    <t>Тема "Сілует"</t>
  </si>
  <si>
    <t>Тема Сілует</t>
  </si>
  <si>
    <t>Продлился день сму 200×2</t>
  </si>
  <si>
    <t>Підтримання рівня натренованості вдень в  складних метеорологічних умовах</t>
  </si>
  <si>
    <t>Тренувальний політ на виконання пошуково рятувальних робіт з режима висіння над сушею Впр.230 кбп в 2018 року,</t>
  </si>
  <si>
    <t>Тренувальний політ на ПМВ пілотаж</t>
  </si>
  <si>
    <t>Проверки</t>
  </si>
  <si>
    <t>Проверка</t>
  </si>
  <si>
    <t>Складний пілотаж, Мала висота</t>
  </si>
  <si>
    <t>Розосередження , впр. 10в Політ на майданчик обмежених розмірів поза аеродромом</t>
  </si>
  <si>
    <t>Розосередження, впр.10в</t>
  </si>
  <si>
    <t>Контрольний політ</t>
  </si>
  <si>
    <t>Розосередження впр. 10в</t>
  </si>
  <si>
    <t>Гр. мала висота вдень</t>
  </si>
  <si>
    <t>Складний пілотаж,
перевірка за МЛВ в тренувальному польоті,</t>
  </si>
  <si>
    <t>Бойове застосування по НЦ зі складних видів маневру</t>
  </si>
  <si>
    <t>Гр. мала висота, бойове застосування по НЦ</t>
  </si>
  <si>
    <t>Бойове застосування по НЦ</t>
  </si>
  <si>
    <t>Бойове застосування по НЦ  зі складних видів маневру</t>
  </si>
  <si>
    <t>Тренувальний в 
СМУ</t>
  </si>
  <si>
    <t>Перевірка методичних навичок</t>
  </si>
  <si>
    <t>Контрольний політ після регламентів</t>
  </si>
  <si>
    <t>Розосередження, впр.10в КБП</t>
  </si>
  <si>
    <t>Розосередження Впр.10в КБП В-18</t>
  </si>
  <si>
    <t>Розосередження впр 10в КБП</t>
  </si>
  <si>
    <t>Годовая проверка вправи 11/12, 9/12/4</t>
  </si>
  <si>
    <t>У складі екіпажу</t>
  </si>
  <si>
    <t>Складний пілотаж, Обліт</t>
  </si>
  <si>
    <t>Переліт</t>
  </si>
  <si>
    <t>221 Контрольний політ в закритій кабіні за дублюючими приладами та РТС посадки</t>
  </si>
  <si>
    <t>242 Контрольний політ на виконання пошуково-рятувальних робіт з суші</t>
  </si>
  <si>
    <t>Впр.10в  Політ на майданчик обмежених розмірів поза аеродромом КБПВ -18</t>
  </si>
  <si>
    <t>Впр. 105 Контрольний політ на визначення характеристик розгонів max (min) швидкості Г.П.</t>
  </si>
  <si>
    <t>Політ на випробування пункт програми 4.2.8 "Лопать 8-М"</t>
  </si>
  <si>
    <t>Річна перевірка 11/12, 4</t>
  </si>
  <si>
    <t>Додаток 1</t>
  </si>
  <si>
    <t>Підсумки льотної підготовки Льотно-випробувального комплексу станом на 31.01.2026</t>
  </si>
  <si>
    <t>№</t>
  </si>
  <si>
    <t>В період</t>
  </si>
  <si>
    <t>З початку 2025 року</t>
  </si>
  <si>
    <t>польотів</t>
  </si>
  <si>
    <t>наліт</t>
  </si>
  <si>
    <t>бой заст</t>
  </si>
  <si>
    <t>Випроб. польоти (з них МЛВ)</t>
  </si>
  <si>
    <t>пол.МЛВ</t>
  </si>
  <si>
    <t>наліт МЛВ</t>
  </si>
  <si>
    <t>1.</t>
  </si>
  <si>
    <t>2.</t>
  </si>
  <si>
    <t>3.</t>
  </si>
  <si>
    <t xml:space="preserve"> </t>
  </si>
  <si>
    <t>4.</t>
  </si>
  <si>
    <t>5.</t>
  </si>
  <si>
    <t xml:space="preserve">  Всього</t>
  </si>
  <si>
    <t>Виконано за період:</t>
  </si>
  <si>
    <t>Льотних змін: - -</t>
  </si>
  <si>
    <t xml:space="preserve">Польотів - </t>
  </si>
  <si>
    <t>Наліт -</t>
  </si>
  <si>
    <t>На випробування (за МЛВ):</t>
  </si>
  <si>
    <t>План ЛП виконано на:</t>
  </si>
  <si>
    <t>Досягнення за тиждень:</t>
  </si>
  <si>
    <t xml:space="preserve">На літаку Л-39:
П/п-к Гагін. Виконав річні перевірки за видами ЛП. Відновився за МУ ДСМУ.
П/п-к Філенко. Відновився за МУ ДСМУ. Виконав обліт Л-39М та перегонку АТ на інше місце базування.
На вертольоті Мі-8 МСБ-В:
П/п-к Потапов. Виконав річні перевірки за видами ЛП.
</t>
  </si>
  <si>
    <r>
      <rPr>
        <rFont val="Times New Roman"/>
        <color theme="1"/>
        <sz val="14.0"/>
      </rPr>
      <t>ТВО заступника начальника Льотно-випробувального комплексу з ЛП: п</t>
    </r>
    <r>
      <rPr>
        <rFont val="Calibri"/>
        <color theme="1"/>
        <sz val="14.0"/>
      </rPr>
      <t>/</t>
    </r>
    <r>
      <rPr>
        <rFont val="Times New Roman"/>
        <color theme="1"/>
        <sz val="12.0"/>
      </rPr>
      <t>п-к                                                       М.ФІЛЕНКО</t>
    </r>
  </si>
  <si>
    <t>Email (логін)</t>
  </si>
  <si>
    <t>serega3709aa@gmail.com</t>
  </si>
  <si>
    <t>Роль (user/admin)</t>
  </si>
  <si>
    <t>admin</t>
  </si>
  <si>
    <t>Тимчасовий пароль</t>
  </si>
  <si>
    <t>Підказка: Заповни B1:B4 і виконай Адмін → Додати/оновити користувача…</t>
  </si>
  <si>
    <t>Email</t>
  </si>
  <si>
    <t>Role</t>
  </si>
  <si>
    <t>Salt</t>
  </si>
  <si>
    <t>PasswordHash</t>
  </si>
  <si>
    <t>biznesistorii@gmail.com</t>
  </si>
  <si>
    <t>ggPbpHvOvtPeac6u</t>
  </si>
  <si>
    <t>f2e6c5fa431aed318c92148fa04325bf5b87bcbce5be83cc4e8b666cf79fdb95</t>
  </si>
  <si>
    <t>potapowvad@gmail.com</t>
  </si>
  <si>
    <t>user</t>
  </si>
  <si>
    <t>ODczMjA2NjUtMmZhYS00YTMyLWI3ODkt</t>
  </si>
  <si>
    <t>a8e49daad084581a20e1d20df3997d1387b2748c13bbef60851bcf3e426f9989</t>
  </si>
  <si>
    <t>nikitatomilko123@gmail.com</t>
  </si>
  <si>
    <t>OTExODU2YmMtYjVjYi00MTA3LTliYjQt</t>
  </si>
  <si>
    <t>46886bea1e9a8ddd14edb1770ba742ec8fb39695570480af047770f845c0ccb0</t>
  </si>
  <si>
    <t>chebamaks@gmail.com</t>
  </si>
  <si>
    <t>UEM4kbxCNl1grsq8</t>
  </si>
  <si>
    <t>5b511997aacece58caacd0825a5c0515142eb3d88db27938bcefdba21366ddaa</t>
  </si>
  <si>
    <t>humennik1976@gmail.com</t>
  </si>
  <si>
    <t>ODViMTYyMWItZTU2Zi00MTYzLTk0ZjIt</t>
  </si>
  <si>
    <t>cf118798cd70b69e6bdc841986f535e46de35ebb9eb7c0dcbec9a20a728035fd</t>
  </si>
  <si>
    <t>vgerus536@gmail.com</t>
  </si>
  <si>
    <t>NWFkYzIyZGQtYTMwMi00ZDI2LWFkNDUt</t>
  </si>
  <si>
    <t>083466a915696c6af215d5764cc53d4e593120bdb43f3127bfb1ba0ff9d0da6d</t>
  </si>
  <si>
    <t>123@gmail.com</t>
  </si>
  <si>
    <t>YWIxMDNiNjAtMzdjYy00NzY0LWE0N2It</t>
  </si>
  <si>
    <t>4bcbbb36f611e7b3473b7e7386db02175b13dcd4bb88c09cd8b51510c05856f3</t>
  </si>
  <si>
    <t>wErWIyx2gzfkkows</t>
  </si>
  <si>
    <t>3ad31877c447f8eb422cf4bb7551ccff2f3d553920a3ec2a091f5199384ccaff</t>
  </si>
  <si>
    <t>Token</t>
  </si>
  <si>
    <t xml:space="preserve"> Email</t>
  </si>
  <si>
    <t xml:space="preserve"> ExpiresAtISO</t>
  </si>
  <si>
    <t>A9b8D8aipTT6pR8SDld7NoRxs81dCR5YN9cuCd4CUCm084kQ</t>
  </si>
  <si>
    <t>2025-08-26T11:49:31.005Z</t>
  </si>
  <si>
    <t>QjpbZ71oRHV7jteHS7WlbhZkPAHqtxUSmiqiwKEbETEwZfQQ</t>
  </si>
  <si>
    <t>2025-08-26T12:06:31.051Z</t>
  </si>
  <si>
    <t>1miJmm1Hx50Y2ZYKhqQsFc6I7VH1sTbJMHVs7IgvfnefB83o</t>
  </si>
  <si>
    <t>2025-08-27T14:19:58.232Z</t>
  </si>
  <si>
    <t>iiV9EasySqwfbtMMNGUjBu8NO3TN9No0zK03YmaxBS81f95A</t>
  </si>
  <si>
    <t>2025-09-01T06:44:32.622Z</t>
  </si>
  <si>
    <t>v31qpXaTuUfIrjBlZqVDNsG4OPg4i61JpFWMbu2kvg32ode9</t>
  </si>
  <si>
    <t>2025-09-01T06:50:01.842Z</t>
  </si>
  <si>
    <t>cN5x1ezVF1TcYvLNoC72SdR4Buib5b7epk5hEteucKLkEmg6</t>
  </si>
  <si>
    <t>2025-09-01T06:53:08.102Z</t>
  </si>
  <si>
    <t>qUE9H8JdzSMjfkdjecuFijwrG2CqGaockRVQRtS5yITQaLRj</t>
  </si>
  <si>
    <t>2025-09-01T13:36:29.937Z</t>
  </si>
  <si>
    <t>1BeXgkRYXXmwR3hFpZsGAi29496QIWb7q2LGRUBayZwQpGBX</t>
  </si>
  <si>
    <t>2025-09-02T08:25:14.147Z</t>
  </si>
  <si>
    <t>i6HwhwwTUP98gxkGqWTZl4ZCydBBw9lch0RhD2UdRvFn5TRs</t>
  </si>
  <si>
    <t>2025-09-02T08:51:57.482Z</t>
  </si>
  <si>
    <t>6G7ZyCDKhjWydft6ZpluEqxkZ6kWPh5vN0XhrMdURqh6mshh</t>
  </si>
  <si>
    <t>2025-09-02T11:25:40.759Z</t>
  </si>
  <si>
    <t>ER9dFr5YHyT20zkA2RskQtgTsEnEwsT0Hkp1UFrJhKOXye9J</t>
  </si>
  <si>
    <t>2025-09-02T11:37:28.466Z</t>
  </si>
  <si>
    <t>sHFFExB5o9ztkxDGYLf9EWm9zWBCRA1tKHUKqzqE9pKuiS5u</t>
  </si>
  <si>
    <t>2025-09-02T11:44:09.942Z</t>
  </si>
  <si>
    <t>5JOahceTde3KusYIzFiToUTydA3ToDAg2iRzKqEVh58PPelA</t>
  </si>
  <si>
    <t>2025-09-02T12:17:18.811Z</t>
  </si>
  <si>
    <t>InkbQFKhXhFYWPSmEWyZ9kwLOGROTEtLwnRjKS3bCZTHGbu4</t>
  </si>
  <si>
    <t>2025-09-03T06:59:39.315Z</t>
  </si>
  <si>
    <t>WPHrH6ToVPN0YAjNBrAFykpjLYD3x6jx3rRLUC9TAEcBMBHI</t>
  </si>
  <si>
    <t>2025-09-03T07:02:26.026Z</t>
  </si>
  <si>
    <t>H7hgcObt8jJIjnOAmo4n3P70byVX81iQG3etRbldrjOocine</t>
  </si>
  <si>
    <t>2025-09-03T07:04:21.603Z</t>
  </si>
  <si>
    <t>N5CitZpi9Mhb3HElevDAjQgrkgzROVMpAm83AMMzw6Z2K4JI</t>
  </si>
  <si>
    <t>2025-09-03T07:36:40.729Z</t>
  </si>
  <si>
    <t>coZykcK72nzL5iMMmUTjz3HURgJWxGfJ1eNRAHKouh0lVWQz</t>
  </si>
  <si>
    <t>2025-09-03T07:59:16.927Z</t>
  </si>
  <si>
    <t>TbbiIh0g8CmzEbILNyo5AVZiEjDJF3Wh1IdM3EGxAGf0FO2h</t>
  </si>
  <si>
    <t>2025-09-03T08:07:26.227Z</t>
  </si>
  <si>
    <t>DpRzTLdYXM6wEeYbnB0JzYeCD9QjrqRVRPIElmDBfktxkgFH</t>
  </si>
  <si>
    <t>2025-09-03T09:26:24.000Z</t>
  </si>
  <si>
    <t>HOpLxBViP5LrZO3evTMQPFpLuvk3uGGvQURAIepp5I0GXoQf</t>
  </si>
  <si>
    <t>2025-09-03T09:32:29.163Z</t>
  </si>
  <si>
    <t>3U4qC8jS5ySgI58HNpAZIKAkSDuGWkPmd5BY3tayy2vieP3a</t>
  </si>
  <si>
    <t>2025-09-03T13:13:25.363Z</t>
  </si>
  <si>
    <t>UuGMyDDJswJnz5es6FRZscQvWOZu1I3zZYWO7Ommka6DpRyH</t>
  </si>
  <si>
    <t>2025-09-03T13:40:20.948Z</t>
  </si>
  <si>
    <t>Ao2e5EUpJ0KNmNi2Vu8vd0NKqLvVPfSQhAJumIxIaWAC1bFe</t>
  </si>
  <si>
    <t>2025-09-03T13:41:58.896Z</t>
  </si>
  <si>
    <t>p2YrrfTYdniIwIrV93T1OCpTr1ExPbDoaSsURNBEJoM42y3L</t>
  </si>
  <si>
    <t>2025-09-03T13:44:41.726Z</t>
  </si>
  <si>
    <t>RrZPE7ednCdXYbRpaRzN9PlxNoTTfxS4ezrzWuXRM8pVg2xl</t>
  </si>
  <si>
    <t>2025-09-03T14:16:57.678Z</t>
  </si>
  <si>
    <t>nXITH5VLRRFB9IreQsWp1cDMMTQesxnC3MHKBLsMFWcypdMd</t>
  </si>
  <si>
    <t>2025-09-03T14:18:38.935Z</t>
  </si>
  <si>
    <t>Eikp26S1Rr5SSCSkWGkfYa7LgoTAVqMQIzjGqOH3qXosTdg2</t>
  </si>
  <si>
    <t>2025-09-03T14:37:05.255Z</t>
  </si>
  <si>
    <t>6us2KdcNi3R3dr5ZUI0tQoPMH3yvoq3Dw1m2JzB7Es6kvuUf</t>
  </si>
  <si>
    <t>2025-09-04T06:12:54.613Z</t>
  </si>
  <si>
    <t>SM2P1cTtNeclRM7I8o7ek7vpoMnYNT8765UMZkSrKLa5dFBk</t>
  </si>
  <si>
    <t>2025-09-04T06:22:04.654Z</t>
  </si>
  <si>
    <t>Bney4smefwpzPbl1YGQp8LvY369JQWlxyXerCGKL3iqktGiv</t>
  </si>
  <si>
    <t>2025-09-04T06:32:29.446Z</t>
  </si>
  <si>
    <t>wDiH9pGXBPgHfYojMFKuZy9PSVNEmIg2wBorTSO5CuolE1TE</t>
  </si>
  <si>
    <t>2025-09-04T06:33:17.323Z</t>
  </si>
  <si>
    <t>Vby23mq64L5dlsRTBFobnQrWoUHeQNaaY8M3Z2x9R4nmgRMg</t>
  </si>
  <si>
    <t>2025-09-04T06:56:23.632Z</t>
  </si>
  <si>
    <t>HSzgW0C0ZLtJRTLUM2Cy6mkQNqYO5lbddcjnfLi7JEMCi7Te</t>
  </si>
  <si>
    <t>2025-09-04T07:07:40.514Z</t>
  </si>
  <si>
    <t>opgdmtse4Ss8CMcWRxBb2iXL2HH140CyOs8el4SjLavwhviS</t>
  </si>
  <si>
    <t>2025-09-04T07:18:58.674Z</t>
  </si>
  <si>
    <t>4i9Q4y72TFP6m2pb1EHSLdltJUktjwQrqq8939DZqiBUFqfz</t>
  </si>
  <si>
    <t>2025-09-04T08:53:11.427Z</t>
  </si>
  <si>
    <t>twFlvEi4A5Tr4jHPM5XK9c30CIsdktAAyeT3DPd4z8llf5Vl</t>
  </si>
  <si>
    <t>2025-09-04T09:32:39.087Z</t>
  </si>
  <si>
    <t>HL4zU7YM3mRzEvqwAFWsNkxSYRxiZsQYXBX8YoEe0Zhv66sK</t>
  </si>
  <si>
    <t>2025-09-04T09:34:57.002Z</t>
  </si>
  <si>
    <t>thppgO9aEnwXxXEUtEbwaeFxHXECwxTX46PjkwEJHaKH9pQP</t>
  </si>
  <si>
    <t>2025-09-04T09:35:58.685Z</t>
  </si>
  <si>
    <t>o84MkjUudgus15kMQ4xdI4Wa90ZPtAYZhbwU04peQXUa34oR</t>
  </si>
  <si>
    <t>2025-09-04T09:47:08.532Z</t>
  </si>
  <si>
    <t>NYReuhaBypuRJQdTC1A7Ro0mmP18ElsC0Qtumujsyl5Tr4NE</t>
  </si>
  <si>
    <t>2025-09-04T09:48:09.024Z</t>
  </si>
  <si>
    <t>khmPtHdNXXIGibCwH0hBWWTPp3CAYJQwXi2890kq0UyeYDKs</t>
  </si>
  <si>
    <t>2025-09-04T09:54:05.969Z</t>
  </si>
  <si>
    <t>IAtB7dc8Jghq9n29WhmBEwvjascv4eDG1I0cuw5Eav59RYBG</t>
  </si>
  <si>
    <t>2025-09-04T09:54:51.886Z</t>
  </si>
  <si>
    <t>MEJVexNkJ94GDludC6wDSUWzuvU0ZcoRnkP4IgFLrnAzncPJ</t>
  </si>
  <si>
    <t>2025-09-04T09:56:10.528Z</t>
  </si>
  <si>
    <t>vePF0xdI3N3u6noeU1i0hXlgbA5RmoW0k9R5HCHxJH1cUoXO</t>
  </si>
  <si>
    <t>2025-09-04T10:06:16.394Z</t>
  </si>
  <si>
    <t>IbYOtuLm3hLTPE5TgjqMGgXrPnSU2eH5svZO9u1keviO2Cde</t>
  </si>
  <si>
    <t>2025-09-04T10:14:28.428Z</t>
  </si>
  <si>
    <t>trcHchzQ7At0mpThHpTibhTn3yZgEltGvxrbCGINYpIDMxuR</t>
  </si>
  <si>
    <t>2025-09-04T10:17:35.823Z</t>
  </si>
  <si>
    <t>eIuHwtNxA1fCrfNbJEnjBR7RPFimPZkHQfLS6vyD5LJgVEwY</t>
  </si>
  <si>
    <t>2025-09-04T11:10:45.033Z</t>
  </si>
  <si>
    <t>JCCxsTyvwebvcUdJgcfugV2ajqN90EcOXFY0X1pc3k0UYJnS</t>
  </si>
  <si>
    <t>2025-09-04T11:51:29.556Z</t>
  </si>
  <si>
    <t>Oakq3SC0ztvT2wn7gVs04iaqMOMNRFmKC3PeFZWp2KyDA6Mc</t>
  </si>
  <si>
    <t>2025-09-04T11:52:36.407Z</t>
  </si>
  <si>
    <t>CDXBDJ27m2xnYc774pSUYcceHd12w4Cg54f9rRq9UfVEkeO3</t>
  </si>
  <si>
    <t>2025-09-04T12:15:34.042Z</t>
  </si>
  <si>
    <t>S3HpLkKxx8MlKrRUDKqymy98TFay4LaoKbdyputRrnk84879</t>
  </si>
  <si>
    <t>2025-09-04T12:31:58.399Z</t>
  </si>
  <si>
    <t>eGdD5O5r5NnF6y58c06IDLJCxM1WcylIuOBt1KkGhfmjms0S</t>
  </si>
  <si>
    <t>2025-09-04T12:35:17.880Z</t>
  </si>
  <si>
    <t>IucY9QWxYPSyTqKcMDHFqA8FUHFy5JBi8nTnL4PZpRZwF5Ai</t>
  </si>
  <si>
    <t>2025-09-04T12:51:31.099Z</t>
  </si>
  <si>
    <t>qymA5aprwItpSF9fPfCNWhbbi6nA14qKz4WsHy68C7LhTN3w</t>
  </si>
  <si>
    <t>2025-09-04T13:02:03.480Z</t>
  </si>
  <si>
    <t>NqJQbZjapiqOtxmKewlz7w0RgUoGnWhlKYkj5ajVhJKMXp6R</t>
  </si>
  <si>
    <t>2025-09-04T13:04:06.899Z</t>
  </si>
  <si>
    <t>zPzvns4ejVmvKNEBtmsa57foDnshdU6RSzO8qWaTgPN1iTZF</t>
  </si>
  <si>
    <t>2025-09-04T13:13:17.770Z</t>
  </si>
  <si>
    <t>sQqPTjeVzEP5ZeeTOCZO14aVV4NPEyDe7lYoW5MTgsxuMFui</t>
  </si>
  <si>
    <t>2025-09-04T13:14:44.496Z</t>
  </si>
  <si>
    <t>ulhyglzIvv1UqXphmbKRjAQzSHZUvFwSPwMgz9K30D0CcR5t</t>
  </si>
  <si>
    <t>2025-09-04T13:22:26.099Z</t>
  </si>
  <si>
    <t>IgqwNi5cL83bigrFGVDysmTUfQhufKJ0fOlBLsMpgxW9Ity7</t>
  </si>
  <si>
    <t>2025-09-04T13:23:43.690Z</t>
  </si>
  <si>
    <t>38g0YMy4IZLP0Ikpg4E2suRCDN1SixDO49v4MKEQC0aRjNzA</t>
  </si>
  <si>
    <t>2025-09-04T13:33:03.884Z</t>
  </si>
  <si>
    <t>omgXqVVOPN22qUBsRzFm7a4nGcYPwderM9t2j1chX0AJqk4J</t>
  </si>
  <si>
    <t>2025-09-04T13:41:58.972Z</t>
  </si>
  <si>
    <t>7tiuwalRTojGOZKsfVNn6e5xGb7h4o83017L5viNqVulCn8V</t>
  </si>
  <si>
    <t>2025-09-04T16:16:42.424Z</t>
  </si>
  <si>
    <t>4SwWqMpJ90TgnakCqTq0ujs7iqY92taFrWAYaaGidGLlk58M</t>
  </si>
  <si>
    <t>2025-09-04T18:05:52.208Z</t>
  </si>
  <si>
    <t>tpfJUMRMG24QQNtdDbDntsNMuM3qur1vLyIOBJUaIpQAQ8Ei</t>
  </si>
  <si>
    <t>2025-09-04T20:12:20.087Z</t>
  </si>
  <si>
    <t>eeDrF9guL9Ifhh4fF53yAvsuCYcZfVvcGK06qohfSJEcsXXa</t>
  </si>
  <si>
    <t>2025-09-05T06:44:42.341Z</t>
  </si>
  <si>
    <t>gO9ryB2dZ2wYW4qyh0lUUeVLBXgQjyOjvGi5NMRG2tlTUFg1</t>
  </si>
  <si>
    <t>2025-09-05T06:57:20.499Z</t>
  </si>
  <si>
    <t>4r7xiv3t5u4jMKWfy4E7ZRyJaCU2SedCLfmxZ0pizo6znkn7</t>
  </si>
  <si>
    <t>2025-09-05T07:17:26.053Z</t>
  </si>
  <si>
    <t>ORcYo1ZpzZb6li86ul56hBQaYIVQEZxa6MGVkQ6QOZnqZfr3</t>
  </si>
  <si>
    <t>2025-09-05T07:50:56.074Z</t>
  </si>
  <si>
    <t>b1eaKyi8wtFJV3gNEHbZrAzW54ruwq2GSmHj0ktlBbqkBpuf</t>
  </si>
  <si>
    <t>2025-09-05T09:23:02.782Z</t>
  </si>
  <si>
    <t>DFDpLpJVa17F7UXnMKf3HuaQJNzpKiXVXFm6d6tKo2lEAAs4</t>
  </si>
  <si>
    <t>2025-09-05T10:03:57.872Z</t>
  </si>
  <si>
    <t>Gd17jYwDmObBItq4n4bOHG76NxyXEQFGB5zncflFWLJTo0HX</t>
  </si>
  <si>
    <t>2025-09-05T11:32:17.754Z</t>
  </si>
  <si>
    <t>VYEBB579v2GBbP6fbfS3LMai50XdCoVwHSNRHdvl4AGATqAK</t>
  </si>
  <si>
    <t>2025-09-08T06:45:27.006Z</t>
  </si>
  <si>
    <t>fSpIcQh8TLTiu2Z1rEIAVAnFAbAL2sLeeGE98vvm0Gm2IFI6</t>
  </si>
  <si>
    <t>2025-09-08T06:50:30.610Z</t>
  </si>
  <si>
    <t>3UUr9zJYDrEE0Jfl7Kvn0Koj4RokKGCVh0Q2TC2plz0I00c9</t>
  </si>
  <si>
    <t>2025-09-08T06:57:48.318Z</t>
  </si>
  <si>
    <t>cAqHHlz1TDFkQRt3XV07VExq3ieev94ymY7TZRjPYtxtl0wp</t>
  </si>
  <si>
    <t>2025-09-08T08:23:27.959Z</t>
  </si>
  <si>
    <t>nz1JN08Piti1O2qqAEyPYbgsQDH2s0YO0sfuUkbeLuQnpack</t>
  </si>
  <si>
    <t>2025-09-08T08:58:27.485Z</t>
  </si>
  <si>
    <t>E6bs0wOvYq7ZDkcLkismWIn8TcBL2HOfUUGQnprVWRWT50Ov</t>
  </si>
  <si>
    <t>2025-09-08T09:34:01.602Z</t>
  </si>
  <si>
    <t>feepJri7v0tSwblhbrx0MD8VJ8wBjzftrUq5cCjW9iT17bJ6</t>
  </si>
  <si>
    <t>2025-09-08T10:47:27.407Z</t>
  </si>
  <si>
    <t>fIvPujDNZ6MtWGJudmZ295ut1uPjMENCRSxUfQ1bJyL2U6Yd</t>
  </si>
  <si>
    <t>2025-09-08T10:56:41.366Z</t>
  </si>
  <si>
    <t>l4ogCvi2sthJyKbRoLBI25K3IJUoBdCDOAlmCO8yGEMrFoF1</t>
  </si>
  <si>
    <t>2025-09-08T11:05:40.628Z</t>
  </si>
  <si>
    <t>3cXL2b3ETUPrx50WJvKm8CzRh6OSOaOhPb9ZqgsVCm7HHj17</t>
  </si>
  <si>
    <t>2025-09-08T11:19:30.402Z</t>
  </si>
  <si>
    <t>HMTuSIsNIzIKgKyd5F4N6iG5P6AHntvBNlOtpu3iIBrneIQE</t>
  </si>
  <si>
    <t>2025-09-08T11:25:08.222Z</t>
  </si>
  <si>
    <t>2MLIVmga8Ex04T381EOotZ3EoJVHsUSFBrotpP67nkVCzkIV</t>
  </si>
  <si>
    <t>2025-09-08T11:31:16.843Z</t>
  </si>
  <si>
    <t>UL6i2ZrKAslYvF6ozMxHhJ1fJVisgyJNwueZwRFDKaGi69n6</t>
  </si>
  <si>
    <t>2025-09-08T11:33:09.182Z</t>
  </si>
  <si>
    <t>M5e70DdD7bWpYmnt1oJINPkmA8yOV66S3BSE2DiMSOwD5gqQ</t>
  </si>
  <si>
    <t>2025-09-08T11:39:09.197Z</t>
  </si>
  <si>
    <t>3eBu3OwMcMxbt08CDaqp7VTiixq84eJzHTj3yGAa30a0HxLY</t>
  </si>
  <si>
    <t>2025-09-08T12:16:02.482Z</t>
  </si>
  <si>
    <t>SdBrvtIr5Vhy4JM2FzAo8kLQ6zkXzzAJ1yl84hSaI3pARJnR</t>
  </si>
  <si>
    <t>2025-09-08T12:25:56.809Z</t>
  </si>
  <si>
    <t>LF8ZlR2bD1p2LYZd9F48EfvNpHKi3BtSSyuWmJneKvFMhgTi</t>
  </si>
  <si>
    <t>2025-09-08T12:53:26.408Z</t>
  </si>
  <si>
    <t>RiyrSJdsAvJNMZduJwMKAUsySVHQsZRQJpJzVBkQwDEaPg2D</t>
  </si>
  <si>
    <t>2025-09-08T13:24:27.241Z</t>
  </si>
  <si>
    <t>heZlE68DgFz8j1QAFOl8qvPvDRd18MrkpquROQrxBT8Z4Zvz</t>
  </si>
  <si>
    <t>2025-09-08T16:31:47.705Z</t>
  </si>
  <si>
    <t>klIBVegNdalUMPEsl3oOz47NpIEb9c3CTyGLkrat5kFMREZx</t>
  </si>
  <si>
    <t>2025-09-08T16:50:54.845Z</t>
  </si>
  <si>
    <t>8XrXzmmy7kzbeDZ5iM9V6tR0VcSGVjl2AKU8wy54JEUBV2jT</t>
  </si>
  <si>
    <t>2025-09-09T06:12:24.689Z</t>
  </si>
  <si>
    <t>kG6mau6l8DKIRjrdRZbJy9ebI7iuy9qDnOvhIZLTGzcQeNHh</t>
  </si>
  <si>
    <t>2025-09-09T07:11:02.337Z</t>
  </si>
  <si>
    <t>vJjcG9lFeEFM4AjVjt625gYmqzLkkTjtiFnJtPSCCSbom4fp</t>
  </si>
  <si>
    <t>2025-09-09T08:17:37.652Z</t>
  </si>
  <si>
    <t>rdEOMxcNTFFrfVszOpKXjXr5Vya0vC1KYHhArTLUZlveCGcv</t>
  </si>
  <si>
    <t>2025-09-09T09:03:17.317Z</t>
  </si>
  <si>
    <t>WiSuKu9Us1rldYeZ24Y83mkE0biXhqepUksppcgqnnyi1GWh</t>
  </si>
  <si>
    <t>2025-09-09T09:27:26.337Z</t>
  </si>
  <si>
    <t>8yC0ZE3yzx8x0Z9Cb1eUxTyVH8b1ugijE9UyaYocA5Umv7Hl</t>
  </si>
  <si>
    <t>2025-09-09T09:45:33.888Z</t>
  </si>
  <si>
    <t>nF5kqXFbK37m5vsCpz0o6b8PHqtq1ynGVxQ3altyN9GjCfpZ</t>
  </si>
  <si>
    <t>2025-09-09T10:09:15.154Z</t>
  </si>
  <si>
    <t>BznkN65gONFm3fFt1sdl4AM2NF5qcVQftTHjcg9PBLC0dRVw</t>
  </si>
  <si>
    <t>2025-09-09T11:06:08.821Z</t>
  </si>
  <si>
    <t>74uj3x7mI7x8JfvKJQSQNZslfc4LnZgdubm67SuyNphM2vuz</t>
  </si>
  <si>
    <t>2025-09-09T11:08:01.875Z</t>
  </si>
  <si>
    <t>DNqBz6JUnyszcsgDiknAO1e58nl2mAQ4Xvpi8IO2RvkOFsTQ</t>
  </si>
  <si>
    <t>2025-09-09T11:26:47.079Z</t>
  </si>
  <si>
    <t>idFmWelR9ZLtWBHxLRnzBhLchsOdgWGpHrMABdzP8pu9ZdoC</t>
  </si>
  <si>
    <t>2025-09-09T11:36:23.171Z</t>
  </si>
  <si>
    <t>MFsMGD9KSfnJPdZkb91P5yGHzh3CSealWzRAI7ZtZGJYyOcr</t>
  </si>
  <si>
    <t>2025-09-09T11:37:51.841Z</t>
  </si>
  <si>
    <t>KGQEVZaCDMu5ZOaJMh7d8Oa6rgyskYqVzCwoAucmLch24UjJ</t>
  </si>
  <si>
    <t>2025-09-09T11:48:27.300Z</t>
  </si>
  <si>
    <t>UTexF7jItwAMJzg26ppQB1yGz8TcOicqcRkm6vqZxVdSI54q</t>
  </si>
  <si>
    <t>2025-09-09T12:05:37.323Z</t>
  </si>
  <si>
    <t>C3Lolh0OutwdgFulfIpN3yoAFNCHZdSV1hg6JUWgR1qCt6TQ</t>
  </si>
  <si>
    <t>2025-09-09T12:10:41.474Z</t>
  </si>
  <si>
    <t>nZvGhTl40t76lpY8mseje80ovkVtYk2iVMFvMLqV82b7Z5ae</t>
  </si>
  <si>
    <t>2025-09-09T12:27:52.917Z</t>
  </si>
  <si>
    <t>B7qGFhs1XFnRfHOcdLoJp1PP5wBbuZn3EcCappfg5jPXA57s</t>
  </si>
  <si>
    <t>2025-09-09T13:03:09.178Z</t>
  </si>
  <si>
    <t>v086T1TAECpJSXhvPnDWyCva0LzKkyjoDcRnshTZaIYsWPNi</t>
  </si>
  <si>
    <t>2025-09-09T14:00:16.780Z</t>
  </si>
  <si>
    <t>dWAzKBZLDe2sTIdCShZGyj9BomQk8JpjDBzj75Wf5NlHebeF</t>
  </si>
  <si>
    <t>2025-09-09T14:24:48.126Z</t>
  </si>
  <si>
    <t>S8gzCkcu2fMa38kqMGbTHqIhvWF4aAEIFGnvdo85vZzlHIk5</t>
  </si>
  <si>
    <t>2025-09-09T14:33:04.700Z</t>
  </si>
  <si>
    <t>c8RclymfAr8zfQOvCwFUhd4iujId0QLOlU9t6acend7FOkxm</t>
  </si>
  <si>
    <t>2025-09-09T14:49:28.126Z</t>
  </si>
  <si>
    <t>gDwaWq5Cr7xvhSxTlLePo17KeQKEi795aqqMqKGHTQrQQXE6</t>
  </si>
  <si>
    <t>2025-09-10T06:02:32.331Z</t>
  </si>
  <si>
    <t>ifo7RCa0LSZx4eeXqO7Du22zJcfQIKlaxg6mdfe6tvoJvwsE</t>
  </si>
  <si>
    <t>2025-09-10T06:40:12.088Z</t>
  </si>
  <si>
    <t>awe6zDn4KQyJiDWyGL3b3u8wPLevz4FYE97HGv556PTEvTYP</t>
  </si>
  <si>
    <t>2025-09-10T07:05:13.000Z</t>
  </si>
  <si>
    <t>0h5HLSaoEdWyy9wlOc5QWPzU8LNno2EMOrrVpkFMC4UFBBtR</t>
  </si>
  <si>
    <t>2025-09-10T07:11:48.781Z</t>
  </si>
  <si>
    <t>HUIDbvr6cVGANE0WB5KU9GvsH6JPOSIDv4LibrRnTc2OQURK</t>
  </si>
  <si>
    <t>2025-09-10T07:20:42.174Z</t>
  </si>
  <si>
    <t>RHoMXMsg0KKJoANhYMSL02ZGcR41zgKYRTR9jOSEIdlx9FPz</t>
  </si>
  <si>
    <t>2025-09-10T10:59:08.224Z</t>
  </si>
  <si>
    <t>GM03hl03yQ3XlakDlfuFXUSMhpfdx1GxJBtNZroPGDHTbxMq</t>
  </si>
  <si>
    <t>2025-09-10T11:46:26.370Z</t>
  </si>
  <si>
    <t>9aKrKreUruP3LbM908r1j2UXf0McBGQ4CTVcxFKdAiwsiRKz</t>
  </si>
  <si>
    <t>2025-09-10T12:50:41.750Z</t>
  </si>
  <si>
    <t>fp4eA2MoDHmUIRehq1V7yeduej35gqrO9CIAmbP4CFGHlpsP</t>
  </si>
  <si>
    <t>2025-09-10T13:08:30.518Z</t>
  </si>
  <si>
    <t>iJTeH955PrjVo9oMrKIe6d9D1a4ByJG7ErW3uMgEUfQuWQWn</t>
  </si>
  <si>
    <t>2025-09-11T06:32:48.706Z</t>
  </si>
  <si>
    <t>gAs3b8EoRgQPXypW7Le7SprahFYbaPpzePTrTUVYvMUglNVm</t>
  </si>
  <si>
    <t>2025-09-11T09:27:32.197Z</t>
  </si>
  <si>
    <t>CWD0i6VbxLg4kBvFO03oqYGrOTuyWFAmzeqBx1OhHqEH84U6</t>
  </si>
  <si>
    <t>2025-09-11T13:40:29.917Z</t>
  </si>
  <si>
    <t>DXNsGzqljYwpdnXg9HNNi7PDgwHzYtlliJZzbiMMFD0nD2vG</t>
  </si>
  <si>
    <t>2025-09-12T08:36:33.170Z</t>
  </si>
  <si>
    <t>U2QH9VXMcRpV650Htwx9pfMJpxjkS1WGk362OK8Cn9l6p2uF</t>
  </si>
  <si>
    <t>2025-09-12T08:37:26.299Z</t>
  </si>
  <si>
    <t>xLMX40uSMzFTXjZ7XMhFTYqrRXgTSqYyYQmWVJUINV9MM9uu</t>
  </si>
  <si>
    <t>2025-09-12T08:39:39.012Z</t>
  </si>
  <si>
    <t>Uw9OlPSBtGSma4nobP1bMrzjZlHfimzb1CFUM7u9TuiGHxWY</t>
  </si>
  <si>
    <t>2025-09-12T08:45:57.526Z</t>
  </si>
  <si>
    <t>7E6omOYvaEx5tTRMlp1n3SNY8cjhQflKWtFPmq3FdvOb19dZ</t>
  </si>
  <si>
    <t>2025-09-12T08:47:04.699Z</t>
  </si>
  <si>
    <t>AoJTeYB3wnYXcQ2emodf3yfe0HPp8IGLL9IiyLLmsOj9vnTb</t>
  </si>
  <si>
    <t>2025-09-12T08:48:05.499Z</t>
  </si>
  <si>
    <t>j6dZ3sJkVTjaXs8WGZ4cy1SYZBEcYFc9iLaIs1EBM7tscsOm</t>
  </si>
  <si>
    <t>2025-09-12T08:50:33.102Z</t>
  </si>
  <si>
    <t>6HKozJI0nps945eOUR61k33kilmobdQq99qk55lrBkTyuanp</t>
  </si>
  <si>
    <t>2025-09-12T09:06:22.973Z</t>
  </si>
  <si>
    <t>5ksokKjsD97FGgWsj8X5JDqK9JsHsNJtM37eneRaqIMtouT4</t>
  </si>
  <si>
    <t>2025-09-12T11:28:42.932Z</t>
  </si>
  <si>
    <t>fzMwrl4CAQ8eLEDp5ezbDKmFYzbC3XSKZhg1VYSN6pVQyqCU</t>
  </si>
  <si>
    <t>ira@gmail.com</t>
  </si>
  <si>
    <t>2025-09-12T11:32:57.720Z</t>
  </si>
  <si>
    <t>3FYVSiqPtRDThZzJRmy5p9u0YH3vw5kMZivJ6iDIRiLJ71iJ</t>
  </si>
  <si>
    <t>2025-09-14T07:56:00.599Z</t>
  </si>
  <si>
    <t>W5QJUGWaqk1YXhjRvSG19aFo9SvMnr9YY6CCbWHwn9PiR9rs</t>
  </si>
  <si>
    <t>2025-09-15T07:06:37.710Z</t>
  </si>
  <si>
    <t>SRnYuhbHwzRQly4s9O3WbkjdizSp6JxS6vIdIj46dZvCv2jb</t>
  </si>
  <si>
    <t>2025-09-15T08:01:31.928Z</t>
  </si>
  <si>
    <t>JXJN975P5Oi1MvdpRrbj6b1cKjcAKh7EpOytT1hx6ssaqcM8</t>
  </si>
  <si>
    <t>2025-09-15T08:04:10.288Z</t>
  </si>
  <si>
    <t>KoCV3YRB7Mceh1nyJMlF2NO1AXSkJfUp3SULwRmcsjwt03nw</t>
  </si>
  <si>
    <t>2025-09-15T08:07:43.595Z</t>
  </si>
  <si>
    <t>sya0PX2MXkk4V7YQO6SUF2BwyQPno3o00mhsInJ0DSbQ2WUu</t>
  </si>
  <si>
    <t>2025-09-16T06:07:48.198Z</t>
  </si>
  <si>
    <t>y6yopexTBHFcy6B1LdxlFt3ZBVQnShLBxu3np1rKAjKuKAYn</t>
  </si>
  <si>
    <t>2025-09-16T11:05:58.251Z</t>
  </si>
  <si>
    <t>Nue1yzAVuS0VoR1SyVmitsTAp0fcAKfThTgG1plxzQr0YlTZ</t>
  </si>
  <si>
    <t>2025-09-16T11:10:18.323Z</t>
  </si>
  <si>
    <t>6cxWZDv4UpIM0552ZXWYPZEWW17djjiuFqyN2cdBeZi3NS2y</t>
  </si>
  <si>
    <t>2025-09-16T11:20:21.133Z</t>
  </si>
  <si>
    <t>iFQZlim9QaFSZIAcsmGv2Wbj0JR7DMkK0H2f388tXlxoSXoB</t>
  </si>
  <si>
    <t>2025-09-16T11:28:38.105Z</t>
  </si>
  <si>
    <t>eFtzT7HEeDsaQCCX14GPUqAHLnE0FwmvBBxli73mkyH0i1d3</t>
  </si>
  <si>
    <t>2025-09-16T11:30:53.099Z</t>
  </si>
  <si>
    <t>xXQH5liAMErc1BCIRVNEdbXviz0Tbduun1g4CWpzQZbzYpGX</t>
  </si>
  <si>
    <t>2025-09-16T11:31:55.145Z</t>
  </si>
  <si>
    <t>UVWlQB9nOqd4Ldepvdu29r95Wq3yYO4hR8v6We7ykt0QgZwj</t>
  </si>
  <si>
    <t>2025-09-16T11:55:08.215Z</t>
  </si>
  <si>
    <t>wfYJt7uTPs7WExNUKPrXspXxmcnQy7osnFXLWtkF0QyCZJwI</t>
  </si>
  <si>
    <t>2025-09-16T12:32:10.182Z</t>
  </si>
  <si>
    <t>Yx9nzi6KKf1fG72cKdtSIjLKSSn6qML3KTHAwBGXakZ8kcfe</t>
  </si>
  <si>
    <t>2025-09-16T13:09:34.342Z</t>
  </si>
  <si>
    <t>AJexKYyCbMTkaM6iyqueubmaVby2KtgT81nYKMRf1ov0MGYu</t>
  </si>
  <si>
    <t>2025-09-16T13:14:38.138Z</t>
  </si>
  <si>
    <t>kOgJKkFspwPhrzs5nzFhHzz3XxisiTh0xjHQN5mQ886kDYSD</t>
  </si>
  <si>
    <t>2025-09-16T13:32:48.288Z</t>
  </si>
  <si>
    <t>oTsEgs5ZpfwS62DrpBXkeB4VnHSiMEaMcU3B9M6rYrEF2KT4</t>
  </si>
  <si>
    <t>2025-09-17T05:53:25.289Z</t>
  </si>
  <si>
    <t>UmKdRr4UhaWOuRo6TFyLd8l20GeELGXjIWia0Sb6T63SU2se</t>
  </si>
  <si>
    <t>2025-09-17T06:41:12.409Z</t>
  </si>
  <si>
    <t>dzDPYXFyCLvhI3OOiCOaSZLEGGXhvNS3NqLyJcxyH1vGwF3E</t>
  </si>
  <si>
    <t>2025-09-17T06:42:56.388Z</t>
  </si>
  <si>
    <t>1FlWAqVIpJIwmgr4PRjeoCKMwWM6d6TolvzyQIIrty17lcvD</t>
  </si>
  <si>
    <t>2025-09-17T06:45:57.183Z</t>
  </si>
  <si>
    <t>5leVRCIkSzvtpEqzUdjW7xLgUE3hpWB1MVsWDLx63v6i9Eh3</t>
  </si>
  <si>
    <t>2025-09-17T06:51:02.632Z</t>
  </si>
  <si>
    <t>PT975zGsCC2tKXB0rH8H7qpvgL4bOcF1G27fCy2j6RhdDDsx</t>
  </si>
  <si>
    <t>2025-09-17T07:05:47.910Z</t>
  </si>
  <si>
    <t>cDh2fWKzGqmjKxo0xp24F8Z6LHXEmCoZ2qgqsxlt4FYRLtiv</t>
  </si>
  <si>
    <t>2025-09-17T07:07:43.089Z</t>
  </si>
  <si>
    <t>kOExBHBCpbjKmdgmdyosxXXOsL8BH5g7Vv4DNDvmQq5vl6Lf</t>
  </si>
  <si>
    <t>2025-09-17T07:24:06.053Z</t>
  </si>
  <si>
    <t>RGLBUKMSBLMEWHxHABKrNUvS2PGw6gEUhQ0jQuK1amPkp3SA</t>
  </si>
  <si>
    <t>2025-09-17T07:26:22.499Z</t>
  </si>
  <si>
    <t>RUwGcR00BRvgjQlK8G7aTNjpQR3fRqmKElKZp0VUdcrPr8F1</t>
  </si>
  <si>
    <t>2025-09-17T08:39:35.308Z</t>
  </si>
  <si>
    <t>RKTXeq7dC6lCh90RcPAdXIhtSwmIr74UmUmUPaSFVIv0JplC</t>
  </si>
  <si>
    <t>2025-09-17T11:49:36.809Z</t>
  </si>
  <si>
    <t>rWaJnKgewFPpifuupHiHh85zJhL1OWPAozTwCKaLBZDaBU2w</t>
  </si>
  <si>
    <t>2025-09-17T12:08:58.461Z</t>
  </si>
  <si>
    <t>D9zQZKH0GVWjHgspKe5TSm61fUvAhW9LFfc2Tf2MKXLN5rdQ</t>
  </si>
  <si>
    <t>2025-09-17T12:18:35.237Z</t>
  </si>
  <si>
    <t>Az5cotg8mDAO30nGNQsce2XxwhxRGD5Et9kVf5E3KRVm5HbT</t>
  </si>
  <si>
    <t>2025-09-17T12:22:52.507Z</t>
  </si>
  <si>
    <t>xcUzzfwrKXCHhFbtiCwTo0oz5FeXtcrOgBKsqoPV6WNVbWwe</t>
  </si>
  <si>
    <t>2025-09-17T12:26:24.810Z</t>
  </si>
  <si>
    <t>Nm33LecB2Naf6owHCVjuUkrVrQb0rHqaFillP477HShp1h8l</t>
  </si>
  <si>
    <t>2025-09-17T14:06:06.376Z</t>
  </si>
  <si>
    <t>Q1YG6ZdcQnoWXm5cB0Oezr1p6lRbMGpD3A6zSX1zx8pW5SQ3</t>
  </si>
  <si>
    <t>2025-09-17T14:08:18.872Z</t>
  </si>
  <si>
    <t>tUXMJRWUaTsAn2EQKIPYlz1lIxIJ2d7JwR2W7QTOnBC07Mmy</t>
  </si>
  <si>
    <t>2025-09-17T17:18:45.714Z</t>
  </si>
  <si>
    <t>AleGOVaxB0oUSHbH0JsV2U7ai7z8KidVsJ3RXpKmRZ9KDAhU</t>
  </si>
  <si>
    <t>2025-09-17T17:22:21.974Z</t>
  </si>
  <si>
    <t>Fpt82QbfN6wphczpvxa47NMNhZGI3JCw3eNhyFa3dsi08stI</t>
  </si>
  <si>
    <t>2025-09-17T17:24:14.706Z</t>
  </si>
  <si>
    <t>IKRk7Na83MrFHkulP9JG73amKdL1yjbKqudrMHIkuidFKTVc</t>
  </si>
  <si>
    <t>2025-09-17T17:29:50.087Z</t>
  </si>
  <si>
    <t>mJiF3BW898NOaokZmvnkI0qs68fKi5KfVrHYUqIq7HQVbwbI</t>
  </si>
  <si>
    <t>2025-09-17T17:30:34.458Z</t>
  </si>
  <si>
    <t>gkj8T0sNI713Gquts1oCA45ZEZeBZEM2GmZMmUfJCFPnxeoI</t>
  </si>
  <si>
    <t>2025-09-17T17:32:10.743Z</t>
  </si>
  <si>
    <t>HuwqljUasBCugDT3WpyhNzbFHcaFUSa21xHP3A4WPfFe1hLO</t>
  </si>
  <si>
    <t>2025-09-17T17:40:48.696Z</t>
  </si>
  <si>
    <t>01HsEvI0taUA8dJ1KjEPAiaRgZoz6Gvpblb7c97bLnDI4Ac4</t>
  </si>
  <si>
    <t>2025-09-17T17:44:18.330Z</t>
  </si>
  <si>
    <t>EkIsRs2uLf3XJPncNMLsx2UuazuULUQZMniu9gAbb0QGUD0q</t>
  </si>
  <si>
    <t>2025-09-17T17:47:41.914Z</t>
  </si>
  <si>
    <t>lyPqjt9818VapCoL5PsaLzAo46XidNUYffgoEcIZwYATMWJT</t>
  </si>
  <si>
    <t>2025-09-17T18:14:09.799Z</t>
  </si>
  <si>
    <t>ED7p12wYYAf8Jjwl1ixfDlRvtAXphCNZDdqKsYGuOI3HU6Ms</t>
  </si>
  <si>
    <t>2025-09-17T18:20:04.932Z</t>
  </si>
  <si>
    <t>4ZhIR7U0qwRl78MD7mXn3J9sBH9g5H18u49NIyos9Mve9ant</t>
  </si>
  <si>
    <t>2025-09-17T18:57:03.996Z</t>
  </si>
  <si>
    <t>Mp4wzbVKba7RSEXE2obD63Nt8OQWeDD2pLgrCCsHvaSbKjbl</t>
  </si>
  <si>
    <t>2025-09-18T06:16:36.384Z</t>
  </si>
  <si>
    <t>DASMTJoy4Ma6wG5i12X7090ua7tSZCts9o7sSherSpfLt8w1</t>
  </si>
  <si>
    <t>2025-09-18T06:31:21.249Z</t>
  </si>
  <si>
    <t>G8lmpKpQJzv8N8NIkt4NokhlUcZbm1vHoqCelIgwGGlr9kJ0</t>
  </si>
  <si>
    <t>2025-09-18T06:35:39.948Z</t>
  </si>
  <si>
    <t>9rafMUXTmgLWIfMhOee49FV8AkCmDPgjCiPB3JyX7PLsqE5C</t>
  </si>
  <si>
    <t>2025-09-18T06:38:37.943Z</t>
  </si>
  <si>
    <t>GdjnVtZkDszTjqVxA6z6KEkxVwgHWGdDX1QrEDO4K1qtFl9H</t>
  </si>
  <si>
    <t>2025-09-18T06:45:18.261Z</t>
  </si>
  <si>
    <t>XdNgzAQgler9FEIauYvV6P50lgS267FLvFy9RFWC29svoj7d</t>
  </si>
  <si>
    <t>2025-09-18T06:53:07.918Z</t>
  </si>
  <si>
    <t>voYM2Z8C0cX0SultYSOfv8bX5zkGq2jMzLEgJ8d1QFmj5G33</t>
  </si>
  <si>
    <t>2025-09-18T06:54:25.298Z</t>
  </si>
  <si>
    <t>c9gMV3c0MT4we0xX7a8IruE3n3gzhTaFLxAcMCsGTUwQ4Fg5</t>
  </si>
  <si>
    <t>2025-09-18T06:57:34.928Z</t>
  </si>
  <si>
    <t>ph0Cx5b2Dl7U5bwzrZVMpTS99w77jkzm7wyKT1kouKWLXcC9</t>
  </si>
  <si>
    <t>2025-09-18T07:04:32.944Z</t>
  </si>
  <si>
    <t>x8O8DXMmjbzStqYo3znt37FpIMnrSU1V5RRk3etzjHJzTiBT</t>
  </si>
  <si>
    <t>2025-09-18T07:10:59.576Z</t>
  </si>
  <si>
    <t>1AhBg3nZIQN6yuHFe0EZDaUt1zZR77JOQ3I140VtAbRzewpI</t>
  </si>
  <si>
    <t>2025-09-18T07:12:10.841Z</t>
  </si>
  <si>
    <t>P7y2yeczaq4H5nZ4FrE5PP5R6kO9Tk2gkioU8uvZdafUzKMs</t>
  </si>
  <si>
    <t>2025-09-18T07:15:44.510Z</t>
  </si>
  <si>
    <t>jrYR8y09jF1DYrsHPHPMtiCfjTVzZUZdZKKq7ynUZs0BRZCh</t>
  </si>
  <si>
    <t>2025-09-18T11:04:34.310Z</t>
  </si>
  <si>
    <t>UQSwDsm5i7YtfH6GJAL1U8kgwqaj1cHiOM8smKIQ25nVmXUZ</t>
  </si>
  <si>
    <t>2025-09-18T11:08:30.415Z</t>
  </si>
  <si>
    <t>sbyeGD5ROynk6S1AqYQfaZ0aBaHQkCIU1p6nG1j0tWPolB8c</t>
  </si>
  <si>
    <t>2025-09-18T11:10:03.359Z</t>
  </si>
  <si>
    <t>2Ifj3FjB7q1TUKwELhE6sLlZWciCc4fEeJxnNMmtZQHiAHV4</t>
  </si>
  <si>
    <t>2025-09-18T11:13:00.848Z</t>
  </si>
  <si>
    <t>LMFw7OcUXnCpe2MidFQfxa3rCZ6wIXUo0xuhfapUUwiqCTm2</t>
  </si>
  <si>
    <t>2025-09-18T11:19:27.476Z</t>
  </si>
  <si>
    <t>FVG8X3G27Bw41jD8vqbagPWZnRuPSbCzF3tWuCMHzjB7D1iE</t>
  </si>
  <si>
    <t>2025-09-18T11:25:15.844Z</t>
  </si>
  <si>
    <t>DujWNjwfdUkzAUCEkhELJEmSQSlxZEKXqTPJZxD56VPClakP</t>
  </si>
  <si>
    <t>2025-09-18T11:34:46.056Z</t>
  </si>
  <si>
    <t>J7kaFv49zg8MhnmbrNSb4igT2jq20m8Tu5cseNfO8lbMWjiQ</t>
  </si>
  <si>
    <t>2025-09-18T11:38:56.930Z</t>
  </si>
  <si>
    <t>V4w1cAwH5L0aN6DpV4HGrnMG3FimPVjeRU1WrE8SyVAG8pyG</t>
  </si>
  <si>
    <t>2025-09-18T12:13:33.003Z</t>
  </si>
  <si>
    <t>0UUzlBGRgX8oeg3sUk7r8KEbQ0exl6mgukZ9TjVLwh6aQsFi</t>
  </si>
  <si>
    <t>2025-09-18T12:14:35.130Z</t>
  </si>
  <si>
    <t>WzeoAh0TsXsbG2Prv1YnQSj62nIvq2vPNTynL6l9daTNrFtX</t>
  </si>
  <si>
    <t>2025-09-18T12:15:36.179Z</t>
  </si>
  <si>
    <t>Nr34GrJ77Cyzo09pCfWjPHyryl7zWCePiAuQqmG5kg6iSRWY</t>
  </si>
  <si>
    <t>2025-09-18T12:20:32.836Z</t>
  </si>
  <si>
    <t>OXVLx0lPzUC9YTUtM3HhydxcNzCFJovjHlfNL6juoYW7khik</t>
  </si>
  <si>
    <t>2025-09-18T12:55:06.257Z</t>
  </si>
  <si>
    <t>kbk17jtgGino02N6D25VRgy0SHHw2Aa3X9HMH3vqpIv3IOhy</t>
  </si>
  <si>
    <t>2025-09-18T13:24:03.651Z</t>
  </si>
  <si>
    <t>i1zVR5s5aeass95MKg5Fuq7ii8dx6yq7jv94DXogTOsZHNHp</t>
  </si>
  <si>
    <t>2025-09-18T14:29:50.543Z</t>
  </si>
  <si>
    <t>7G9SV9jgbbzAlJpq0BWfPRnO79Uhxis0WrwJabgJtDr2DhKI</t>
  </si>
  <si>
    <t>2025-09-22T06:43:47.622Z</t>
  </si>
  <si>
    <t>feoeX9YLGJZ8xxxMnZ5uYgHCWeCo43pEW9bewugepxRUtqaI</t>
  </si>
  <si>
    <t>2025-09-22T07:55:21.071Z</t>
  </si>
  <si>
    <t>IeuHtKFFOZ643nRd7QALjhbqp1Yg123GEDmT7adCqkwPpYOk</t>
  </si>
  <si>
    <t>2025-09-22T08:00:23.723Z</t>
  </si>
  <si>
    <t>hb7P1C2DbGO1ydftkYlCc0UFSJEIyRjkSwYPi8wFl3N0oowy</t>
  </si>
  <si>
    <t>2025-09-22T12:23:32.026Z</t>
  </si>
  <si>
    <t>xcxwhcvmGRy4EBbMlYHopc8igNvQhGcD6m26JFqqzQWpZOSt</t>
  </si>
  <si>
    <t>2025-09-22T12:57:31.179Z</t>
  </si>
  <si>
    <t>a4shtQdrgVo1u3iF0yCRv40lPhGc7IA1ZnnTrjabw7gDRcHW</t>
  </si>
  <si>
    <t>2025-09-22T13:05:35.196Z</t>
  </si>
  <si>
    <t>xHvchz4qBPdGPgQ7OJbQ3TQNGD4DKkZi3Ekp2JAZzuPi7KKY</t>
  </si>
  <si>
    <t>2025-09-22T13:27:28.322Z</t>
  </si>
  <si>
    <t>jPb65klLbsUVeQQKEY9bC3tXyh0sPA4ar3goNCcG8cXhIvqy</t>
  </si>
  <si>
    <t>2025-09-22T13:35:58.982Z</t>
  </si>
  <si>
    <t>S8o4hxrtaxNCdk3eiuI8egexURTbT9AzT8i8oqq4AWEcFb1J</t>
  </si>
  <si>
    <t>2025-09-22T13:51:44.495Z</t>
  </si>
  <si>
    <t>h2p1UHYVa5Ce7cvGYl8GeLfc2dPDBnDAAXZOWnggey3Pe8UI</t>
  </si>
  <si>
    <t>2025-09-22T13:53:48.884Z</t>
  </si>
  <si>
    <t>g5JxOzxpDt5iKu9CY78Q0XQQwokWmpbvesUvX3bnadD86vMp</t>
  </si>
  <si>
    <t>2025-09-22T14:18:02.335Z</t>
  </si>
  <si>
    <t>cD6T8w7x793VSvnNe1kJEAyYRJ8sAdu4isN0mwLi6lhO1z4k</t>
  </si>
  <si>
    <t>2025-09-22T14:21:37.105Z</t>
  </si>
  <si>
    <t>FwUmYRmwAoy7pgUBYmLlw2xOVHsHPoGkK8lB5bXKnDQGhtv2</t>
  </si>
  <si>
    <t>2025-09-22T14:23:29.052Z</t>
  </si>
  <si>
    <t>9ZMVBtiiQaltqNQiygIiFT0znvbKrAjtdPDbE8uo1MVhyItr</t>
  </si>
  <si>
    <t>2025-09-23T07:47:52.347Z</t>
  </si>
  <si>
    <t>yOh6RW6xjINYkb9DyNNRGIrG5aJr2bY0ci9MQFcbc9ifzX2i</t>
  </si>
  <si>
    <t>2025-09-23T07:59:31.354Z</t>
  </si>
  <si>
    <t>vGmMHehLkYTRLO23g86lueRXdwcWxXodRkV33qjHARArr400</t>
  </si>
  <si>
    <t>2025-09-23T08:11:09.068Z</t>
  </si>
  <si>
    <t>TbH3dLBJWSwVrRpUbrvnFnDpReTTXu7TXHpb2jeZj5suIhws</t>
  </si>
  <si>
    <t>2025-09-23T08:19:49.865Z</t>
  </si>
  <si>
    <t>pFFJbfixbuLYdDFTjq06yj5J6OZdbB1sweoCaTBXN4fVQhvV</t>
  </si>
  <si>
    <t>2025-09-23T08:22:09.941Z</t>
  </si>
  <si>
    <t>Q2LAQLTwGCgZleIMtNIQCxrEDDJVDXRzgLhu9TGNOtLrtslJ</t>
  </si>
  <si>
    <t>2025-09-23T08:55:05.224Z</t>
  </si>
  <si>
    <t>HJwmtoMgfcxGON4a7lMLprMjibHqE4SZf1dZmxUiQCb5e7Bi</t>
  </si>
  <si>
    <t>2025-09-23T09:04:06.520Z</t>
  </si>
  <si>
    <t>dLiQSvaDLUPVM6yuPA3c8jHMf8LRRBgIbwqj1ir5TUAyppk6</t>
  </si>
  <si>
    <t>2025-09-23T09:08:21.546Z</t>
  </si>
  <si>
    <t>xVLLcLnJdZeEz54m5BTXBqk8dWDXshCbmOt5ol3inYfVDkhr</t>
  </si>
  <si>
    <t>2025-09-23T10:00:00.464Z</t>
  </si>
  <si>
    <t>lYjffHzVEZj1MU9p0EiJDWspFIJHNOGMbfWUk8KsDSZtrwRv</t>
  </si>
  <si>
    <t>2025-09-23T10:10:54.114Z</t>
  </si>
  <si>
    <t>S2vdniL6JeJrcaXNb1meTftuDdo4dpQMN8wMs0Nj6Zef0Q1j</t>
  </si>
  <si>
    <t>2025-09-23T10:22:23.341Z</t>
  </si>
  <si>
    <t>aVkEN2C2AfvPJCjbNBtAoahhCqxOQgzXYnsgcQQ8NIfI6sVq</t>
  </si>
  <si>
    <t>2025-09-23T10:32:21.967Z</t>
  </si>
  <si>
    <t>maU1dwWnU55LpxOE2numDvlVNWJQUjsNpEEcWIfSjhEBAb44</t>
  </si>
  <si>
    <t>biznesistorij@gmail.com</t>
  </si>
  <si>
    <t>2025-09-23T10:37:05.682Z</t>
  </si>
  <si>
    <t>1hcQcezh6UKAQvNo7oYnKWR4mXnzIdLQheTQL2WI3iMXrMbJ</t>
  </si>
  <si>
    <t>2025-09-23T10:51:41.731Z</t>
  </si>
  <si>
    <t>37jd9cAoCKZhiWQmWtV9fDGfoACE2CjtMeRw77wNiz0uiSSs</t>
  </si>
  <si>
    <t>2025-09-23T10:55:00.881Z</t>
  </si>
  <si>
    <t>CEVdISIL89vfOC8ECHxhOypbiQ6oWowOttErnymTf6rI4xse</t>
  </si>
  <si>
    <t>2025-09-23T10:57:56.725Z</t>
  </si>
  <si>
    <t>WPXWBkhjYlXgrja0gTZp5MmPPNQ4X5cyaheZg86IOMPq2nt3</t>
  </si>
  <si>
    <t>2025-09-23T11:04:05.373Z</t>
  </si>
  <si>
    <t>MXISsbt79z4g3ZjlXtnDKa0OkLrJqjlHcV8lYj2QWETjO8Lx</t>
  </si>
  <si>
    <t>2025-09-23T11:08:49.155Z</t>
  </si>
  <si>
    <t>6Y3ihcBmqeN4yJC8mPmehAKAwwiSR6tEsyhsc2EVm4SSZdpg</t>
  </si>
  <si>
    <t>2025-09-23T11:10:53.928Z</t>
  </si>
  <si>
    <t>WBBAdZIQfvnHvbydcCadPWcm9q39nPSodNLi1eifalZcSrKz</t>
  </si>
  <si>
    <t>2025-09-23T11:18:54.827Z</t>
  </si>
  <si>
    <t>F35mgUtELxIvNro2LedRtu5CxVjvDWMXvObuTVWKggl3QVvm</t>
  </si>
  <si>
    <t>2025-09-23T11:22:27.788Z</t>
  </si>
  <si>
    <t>voah7RdjrVkJi0Oi2x0tYD9WKcBEopkmeQjCk6miF5qvT9sv</t>
  </si>
  <si>
    <t>2025-09-23T11:26:41.688Z</t>
  </si>
  <si>
    <t>hO9vRvPJZrTtR6ZiicA0UG35fVTVbp8coo5CzAO3RRvvNdp7</t>
  </si>
  <si>
    <t>2025-09-23T11:38:44.575Z</t>
  </si>
  <si>
    <t>NYmIBcAgWjY4hg4bDW1K3qutPSr94jY8n32wWbm1p6JWspHn</t>
  </si>
  <si>
    <t>2025-09-23T11:39:11.287Z</t>
  </si>
  <si>
    <t>PW9Hqz4lidJOQUs8DgCaON3nBwog6cNI55ogzg6EiXajmrUb</t>
  </si>
  <si>
    <t>2025-09-23T11:59:32.744Z</t>
  </si>
  <si>
    <t>NCix4ZZyIQMfX9subCwcn5UN5o23GPYTKvx69NS3XsHR8n8X</t>
  </si>
  <si>
    <t>2025-09-23T15:11:54.631Z</t>
  </si>
  <si>
    <t>9plgfSRlzg4Hf3cTTgZGTK8kIZX6WgSSbnDfHCT6IouObRca</t>
  </si>
  <si>
    <t>2025-09-24T12:14:23.441Z</t>
  </si>
  <si>
    <t>qYSpuMekv2XSmOfsp5aNPzoNTvtDXLpBPXrc4UBwgeswkwul</t>
  </si>
  <si>
    <t>2025-09-24T13:51:46.630Z</t>
  </si>
  <si>
    <t>z0DjQvg4xTPZmtjYQa15kkXfah5ySSc7GwrHfGobrN6E7Mrz</t>
  </si>
  <si>
    <t>2025-09-24T14:07:15.806Z</t>
  </si>
  <si>
    <t>FVp7XuvOGnbPn8rbQd7StfnGMiv4boCxUAibQPWnKbNLbFtP</t>
  </si>
  <si>
    <t>2025-09-24T14:19:43.042Z</t>
  </si>
  <si>
    <t>XpXhsjj9ES6n5oeoLxabqYo0i10iNPasBlVMVPxkB4aWJoRd</t>
  </si>
  <si>
    <t>2025-09-24T14:29:00.858Z</t>
  </si>
  <si>
    <t>IXrkE5zWLpCPDOgt5DHY04JRVKHJex2Qa2o4kwDTLKidNAoi</t>
  </si>
  <si>
    <t>2025-09-24T15:34:00.712Z</t>
  </si>
  <si>
    <t>WIvMArRGK3FQXeLJC1jUsqujESd3KjewUjDDMcPu1MWw24JV</t>
  </si>
  <si>
    <t>2025-09-24T15:40:28.878Z</t>
  </si>
  <si>
    <t>TCo5Iqm0jB5Fkq5hNxnA64B3On0PxeP9RagQaP7UdbD6oOQr</t>
  </si>
  <si>
    <t>2025-09-24T15:45:51.871Z</t>
  </si>
  <si>
    <t>1dcOdgnMEbnjvquejqSYz8fjtL67N7oxWdCVECwDGbPEiLAE</t>
  </si>
  <si>
    <t>2025-09-25T14:10:07.093Z</t>
  </si>
  <si>
    <t>9VQprcAaITSKcrZGC8tJIpZ5YNalw8zCfIwGu4Az5nYbeh2I</t>
  </si>
  <si>
    <t>2025-09-25T20:45:18.451Z</t>
  </si>
  <si>
    <t>o7vE7jVuRBT5A01ZKVWyEzZHLB8vUozqYJszGa9RNnF4gYym</t>
  </si>
  <si>
    <t>2025-09-26T07:36:25.118Z</t>
  </si>
  <si>
    <t>xDPFo3VRLSoVtz7uYmKVde7k4S9uqY13kbhLqYrep28cQ2Ru</t>
  </si>
  <si>
    <t>2025-09-27T11:21:13.480Z</t>
  </si>
  <si>
    <t>Gd3Ef1fSJ6dbrXlZo5M4GxSoMbhVEmTyvqPmllVMqelwLRiQ</t>
  </si>
  <si>
    <t>2025-09-27T13:19:16.662Z</t>
  </si>
  <si>
    <t>vh1VCuthqAf3YimADTdRXi9qnACRYqvumIC27ni7HbsgPhw6</t>
  </si>
  <si>
    <t>2025-09-27T13:37:38.320Z</t>
  </si>
  <si>
    <t>FqIWUPtttNokoMqOoBpNcDAm3BgjlnWcgPwyHMQ75oZNvqJ7</t>
  </si>
  <si>
    <t>2025-09-29T07:22:56.189Z</t>
  </si>
  <si>
    <t>7svV5s6I6k7UdnB8p9c07OdHyMg7aJ5t8fBnK9aNSwt6McX3</t>
  </si>
  <si>
    <t>2025-09-29T16:40:01.845Z</t>
  </si>
  <si>
    <t>0AZJH6zoXCAVABFBGiMThfGyJjpCdw95s0SCbBtd2ueuGzd8</t>
  </si>
  <si>
    <t>2025-09-30T11:38:49.510Z</t>
  </si>
  <si>
    <t>VBPgQ9g5UAhAMmfT4alfATxBST0NsS7yTwW9AQgfQtVFqtx2</t>
  </si>
  <si>
    <t>2025-10-04T21:38:22.052Z</t>
  </si>
  <si>
    <t>xWpyJMHJTz5JNC1DIhWVJcfOfnCuEiAVPVnO1rHcDyQz2rtY</t>
  </si>
  <si>
    <t>2025-10-07T08:28:07.234Z</t>
  </si>
  <si>
    <t>DcIJsurPB78lwHpTbyOiaks8XU80CAv3uIk0udZKfxliTeh2</t>
  </si>
  <si>
    <t>2025-10-10T06:34:40.586Z</t>
  </si>
  <si>
    <t>7wNmqOzlYPnzNmMBFWJynricNnrZ8dmNAkxAxXsbpsHdQEnM</t>
  </si>
  <si>
    <t>2025-10-10T07:15:31.153Z</t>
  </si>
  <si>
    <t>3FlkzufywttK97IgU8a7jXLPATHXPgNiSoWPEUPVz84IMPcI</t>
  </si>
  <si>
    <t>2025-10-10T10:54:50.897Z</t>
  </si>
  <si>
    <t>dyRzGWTtMU5koQfp5pSqbJwDk0uDhfQi0dG6BzjvSeOfmFvS</t>
  </si>
  <si>
    <t>2025-10-10T11:02:45.773Z</t>
  </si>
  <si>
    <t>exfmcmFZuLB3TnDYIhTFm1kpkpO6PQwD5ZnaM2zjgmUKRYdq</t>
  </si>
  <si>
    <t>2025-10-10T11:07:57.005Z</t>
  </si>
  <si>
    <t>viCI3bVVmCMSf9rMebfCgwNzUDDDPYD2iiTyX4rJRCP6bhbD</t>
  </si>
  <si>
    <t>2025-10-13T04:22:37.781Z</t>
  </si>
  <si>
    <t>PGDJg3LPfipJbvjP7hRniZoy1Rw8dWn4RTSGA3LB0OkQfrP5</t>
  </si>
  <si>
    <t>2025-10-13T09:03:05.204Z</t>
  </si>
  <si>
    <t>andLb5BiQq017htSNz3fXANtDWgIJywxlZczhlpDsK9Eg7lA</t>
  </si>
  <si>
    <t>2025-10-13T09:51:52.520Z</t>
  </si>
  <si>
    <t>kfKKUbYvyLq5HGfuI6HhF84u7IK245Vt18NufnILdVXWzhqQ</t>
  </si>
  <si>
    <t>2025-10-13T19:00:42.598Z</t>
  </si>
  <si>
    <t>p8xffkrJXaXyefO4lrXBI1rtSjCWM0lY2NU3kxQ9GZjIiMuG</t>
  </si>
  <si>
    <t>2025-10-14T07:04:28.129Z</t>
  </si>
  <si>
    <t>jGx4aqZWJ8tfRip17oYQLZXIKsWBQWGKejVHGGD5dE1v5JZF</t>
  </si>
  <si>
    <t>2025-10-14T09:08:58.360Z</t>
  </si>
  <si>
    <t>ULwulrMPE5KOB9KBE67dJq4IkgB24O9irhH7LyjWHB4cIdgq</t>
  </si>
  <si>
    <t>2025-10-14T10:45:42.874Z</t>
  </si>
  <si>
    <t>QRlOge8UIOGtY6491RPY6hsTqIyXZj0y3httg0LZ4HAOLg4u</t>
  </si>
  <si>
    <t>2025-10-14T14:10:23.331Z</t>
  </si>
  <si>
    <t>XjQs2sfIBGtacJr2qpWClRjQW40gwu9Ngxkbci9kNLRkppvz</t>
  </si>
  <si>
    <t>2025-10-16T16:33:22.363Z</t>
  </si>
  <si>
    <t>9A7QUliKyDJwR4MW3TS7E5OaQjvvN7cPYkSjXzl9Rzc2gCxZ</t>
  </si>
  <si>
    <t>2025-10-17T07:01:04.672Z</t>
  </si>
  <si>
    <t>lA7n2dkBR2Qd1iWMhYRthFytfbBwdqgGV744DycmQyVc6yVN</t>
  </si>
  <si>
    <t>2025-10-18T04:34:20.186Z</t>
  </si>
  <si>
    <t>3jKceqLyKcLIcL5sBQZuCW1sGOtSRUrClclOTscG4NZUlyxs</t>
  </si>
  <si>
    <t>2025-10-21T06:07:17.035Z</t>
  </si>
  <si>
    <t>3FwAdUdrCIwX6M9VfYf6TvPBO8aDNvLULw5gpCGAMt8glWpl</t>
  </si>
  <si>
    <t>2025-10-21T06:20:11.636Z</t>
  </si>
  <si>
    <t>ukkbZG8D5prCcPxQ2WP3PniZdoibFAWAcgP5nmUvjPO1Urmu</t>
  </si>
  <si>
    <t>2025-10-24T08:40:09.880Z</t>
  </si>
  <si>
    <t>Zz7RqkQDskA7OtaADlYVZaibVrMoIExBjcf8qJaRhVFzhWnD</t>
  </si>
  <si>
    <t>2025-10-25T06:53:03.749Z</t>
  </si>
  <si>
    <t>7tgjzlCdt1BFzKMCBF7d4zUPOPOHTm6pRdk68fZxV4zfDPV6</t>
  </si>
  <si>
    <t>2025-10-27T05:45:22.261Z</t>
  </si>
  <si>
    <t>8CDyrh59atbEuUHt4EdP7BQ12VD1cFL9hFcTmawmdIYYPXaC</t>
  </si>
  <si>
    <t>2025-10-27T09:18:32.330Z</t>
  </si>
  <si>
    <t>h9rhEL7U5lt5MVyEc2eevIruxFLK3mWflWL2bfCkR4sjeZlj</t>
  </si>
  <si>
    <t>2025-10-27T11:19:56.138Z</t>
  </si>
  <si>
    <t>5EV2tAgFaYpJwvsQ3ti2q0YiV5OFEOLkvOBNgjHQoytMwRSZ</t>
  </si>
  <si>
    <t>2025-10-27T14:10:07.649Z</t>
  </si>
  <si>
    <t>OYSHHb2ZVA4XlGCDJl1pbhedTcNWPtosnEkHpHwQJ3s8Dsq6</t>
  </si>
  <si>
    <t>2025-11-01T07:49:58.379Z</t>
  </si>
  <si>
    <t>K47JtlhP59m3HvtiK2iQLnsMwPrhTtikwsBvqJFE2sH3sBQo</t>
  </si>
  <si>
    <t>2025-11-03T17:44:52.145Z</t>
  </si>
  <si>
    <t>kPKefExQNcZiLMxV642VmGa5bZrx5ucpm28voru8qiane9Xg</t>
  </si>
  <si>
    <t>2025-11-09T11:56:19.508Z</t>
  </si>
  <si>
    <t>8AY375E2jHZY1qvaHRMWU7DsfA3ilLuSUqHrvsHkzyOV23nU</t>
  </si>
  <si>
    <t>2025-11-10T10:14:11.597Z</t>
  </si>
  <si>
    <t>Q5IR4I93EqXLOSbx78MgfpH2Lym97xHCwFafktpXFXm0DN8Q</t>
  </si>
  <si>
    <t>2025-11-11T10:20:27.040Z</t>
  </si>
  <si>
    <t>6Zze2ki9SOFpIfvVt1wY3kfJcYSynhFt3Li01IqvFpqsMBcX</t>
  </si>
  <si>
    <t>2025-11-12T10:02:25.253Z</t>
  </si>
  <si>
    <t>b1Dw1ARry2l7dNQ6ZR3kReV7K5nY9o1c5R1rK79gmiOgVNTP</t>
  </si>
  <si>
    <t>2025-11-14T16:05:36.792Z</t>
  </si>
  <si>
    <t>DPE4FTmPEmjG1XdHHokHRsVUNgtFhu4EWgvAaFCTtfjlL05H</t>
  </si>
  <si>
    <t>2025-11-14T19:38:51.875Z</t>
  </si>
  <si>
    <t>PEO7DZcId0NblIuHRG8l5hmOgeuQZcXjqxb6aRKg3JH06gOd</t>
  </si>
  <si>
    <t>2025-11-21T09:58:09.222Z</t>
  </si>
  <si>
    <t>EAq4GBP1c1PupC6KH3xXHP13CKozfxhHmFFHF9fe0fRifj4q</t>
  </si>
  <si>
    <t>2025-11-21T17:38:50.137Z</t>
  </si>
  <si>
    <t>voYusbOlQ3BchJZiqsKutpI0u949VrtpJ7DTD8IGAT9I8Qjc</t>
  </si>
  <si>
    <t>2025-11-26T09:52:02.992Z</t>
  </si>
  <si>
    <t>hcPodOUkNjkJgCdqyQsLFqdD265C2ORdXdJeiUdRByzpamVc</t>
  </si>
  <si>
    <t>2025-11-28T07:15:28.103Z</t>
  </si>
  <si>
    <t>4QKMR4QmpdWXogDPDZkY2t84bSFfAyUp2lC6jFQ8r4YrO4WR</t>
  </si>
  <si>
    <t>2025-12-01T06:50:31.894Z</t>
  </si>
  <si>
    <t>4j6X2dp4zUJLCNTP9k5DtKzQ5Qy0IIvjcrXPsulCNws6l01m</t>
  </si>
  <si>
    <t>2025-12-01T08:56:38.885Z</t>
  </si>
  <si>
    <t>BYBEFi5vZPooR158z8gVAXrgKlUcram5GewyZ1KjPNcoDpDl</t>
  </si>
  <si>
    <t>2025-12-10T09:53:28.910Z</t>
  </si>
  <si>
    <t>dySPSEXRbve7emSQ8d0OFLhaZFSs6vTZVqUNsEFDTySr5L3m</t>
  </si>
  <si>
    <t>2025-12-10T10:34:44.344Z</t>
  </si>
  <si>
    <t>6Fp46zgZ09stM3UFbt3UcW1wM6lObylxmf8zgHwCeLLPRqzF</t>
  </si>
  <si>
    <t>2025-12-10T10:47:23.361Z</t>
  </si>
  <si>
    <t>a10rZGCwjo54oX6aZgquiz3CMG7Avqo7cH6b2WNi00dcf6dR</t>
  </si>
  <si>
    <t>2025-12-19T15:29:01.340Z</t>
  </si>
  <si>
    <t>Y4Nheyx0lCNd9BrJ3eVrXYep4KHdmqTdXZA5HIgfKZN2ie0L</t>
  </si>
  <si>
    <t>2025-12-22T08:25:02.763Z</t>
  </si>
  <si>
    <t>QZtwrO3m7tw5abwKmRCbJUah7jLg8GVxANlfBAUvkopJnF3T</t>
  </si>
  <si>
    <t>2025-12-23T10:47:20.815Z</t>
  </si>
  <si>
    <t>tsqaDIHUdolsyCk1grNVRbpdCMwhmZBJ7vgf0g3NH05FQkeH</t>
  </si>
  <si>
    <t>2025-12-23T13:35:47.893Z</t>
  </si>
  <si>
    <t>F5HQrCjhVfy08OnbBGMovyRO8jnCGsAES34oV0awXwWJWm2v</t>
  </si>
  <si>
    <t>2025-12-25T12:44:30.245Z</t>
  </si>
  <si>
    <t>Y5iwxWb4Op2WvxdXVbimgtTtHVO64FklmSNQsaE8Sso61MXX</t>
  </si>
  <si>
    <t>2025-12-26T21:01:31.770Z</t>
  </si>
  <si>
    <t>EOWtMrrRQPXpfcTJzHBqVX67x0mZcLgVCWFqm3xO9pvYBrfW</t>
  </si>
  <si>
    <t>2025-12-27T08:40:18.754Z</t>
  </si>
  <si>
    <t>7lpwcWWpfXamiaxm5cKH5e1uAnmlFanuMSm8VXKI5v1nHDmp</t>
  </si>
  <si>
    <t>2025-12-31T08:26:13.879Z</t>
  </si>
  <si>
    <t>Kd2BNXEDdsDw5TCx5Fg3t1Eo8PNC9l8RTWh1EhP3Tgqq7l2I</t>
  </si>
  <si>
    <t>2025-12-31T21:12:10.172Z</t>
  </si>
  <si>
    <t>xXqWpSENUzlO9UuXbpaMCtTO8P79hpupqwzDbFCPTSjlpibo</t>
  </si>
  <si>
    <t>2026-01-01T10:06:09.004Z</t>
  </si>
  <si>
    <t>CH5AtKv78e8XTeMWc8ABFmLm73xzolXRiY1dj00R1KgCZeP1</t>
  </si>
  <si>
    <t>2026-01-05T09:37:46.760Z</t>
  </si>
  <si>
    <t>1JqvZGn8Op2UKpLga5D8qU2nol1nxOSGLnPVQr9AFnOgzS7P</t>
  </si>
  <si>
    <t>2026-01-05T16:43:28.155Z</t>
  </si>
  <si>
    <t>AoSlkJwuen17zCtTgeX0F0tqhi28XR83MUYhmENWBwitt8ZX</t>
  </si>
  <si>
    <t>2026-01-08T09:23:44.785Z</t>
  </si>
  <si>
    <t>sNKfFg9y9MYcmHcaSFrmb9XWmvWxyMk3K2H35c9XJ8iBRfUv</t>
  </si>
  <si>
    <t>2026-01-12T10:10:52.439Z</t>
  </si>
  <si>
    <t>YP4phjYBTI7uFhtlu0fGEYoXMcC1hQzTzaqgxEINGIOyjpiR</t>
  </si>
  <si>
    <t>2026-01-18T16:02:29.880Z</t>
  </si>
  <si>
    <t>hQLvUovtKtPvWkqlExQJ4B3Lihs7HE0lRIfnmUjN8ieZHa3y</t>
  </si>
  <si>
    <t>2026-01-20T08:44:22.767Z</t>
  </si>
  <si>
    <t>d1YGkab5EQ05Bsv59I8K3raKx4IDqbbbsJgI9fKwXzoZUAMy</t>
  </si>
  <si>
    <t>2026-01-29T15:22:00.225Z</t>
  </si>
  <si>
    <t>sZWuquv1YjMEkBVjg5GGu5oeW10KJsNc6MUspvA1sAxGP3gK</t>
  </si>
  <si>
    <t>2026-01-30T12:12:23.594Z</t>
  </si>
  <si>
    <t>ak3DBnivPrGJPKAgnawx68LczrUnDwFwC4nOLzU66p1z1kjG</t>
  </si>
  <si>
    <t>2026-02-02T13:59:23.000Z</t>
  </si>
  <si>
    <t>pxB0leRjbr8vBWOK9Bv4rJpKsyEPrBYVQ4pqNUI0KobVVoUZ</t>
  </si>
  <si>
    <t>2026-02-04T12:16:24.615Z</t>
  </si>
  <si>
    <t>KPYUxU5SZp5Mx1QsJ05O1jZkIWiv9iRuwCeA0W2s72uePFvp</t>
  </si>
  <si>
    <t>2026-02-09T10:06:09.287Z</t>
  </si>
  <si>
    <t>hJQbtzbWqV9TBgmPbyj6NHuzQg0hY4A6uR8AnGhVFnQNdPmD</t>
  </si>
  <si>
    <t>2026-02-12T13:11:21.704Z</t>
  </si>
  <si>
    <t>lTlK61Gu2JQ0BRGQ9yvgADkT2LPvUDnCs4hu67sLXPdjicL3</t>
  </si>
  <si>
    <t>2026-02-13T09:18:31.549Z</t>
  </si>
  <si>
    <t>GqLCbXjqBSNHaNQxJ06XDVVxuf2xVOgZwLR0mpt2zr12apfP</t>
  </si>
  <si>
    <t>2026-02-16T06:40:46.520Z</t>
  </si>
  <si>
    <t>ngzw315rcOGsw9qlyNOHm8NB3OnYJwi1aSoeKjPWQobrguVp</t>
  </si>
  <si>
    <t>2026-02-16T06:53:29.703Z</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</si>
</sst>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numFmt numFmtId="165" formatCode="dd/mm/yy"/>
    <numFmt numFmtId="166" formatCode="d/m"/>
    <numFmt numFmtId="167" formatCode="[h]:mm"/>
    <numFmt numFmtId="168" formatCode="hh:mm:ss"/>
    <numFmt numFmtId="169" formatCode="dd.mm.yyyy"/>
    <numFmt numFmtId="170" formatCode="[hh]:mm:ss"/>
    <numFmt numFmtId="171" formatCode="d.m.yyyy"/>
    <numFmt numFmtId="172" formatCode="hh:mm"/>
    <numFmt numFmtId="173" formatCode="[h]&quot;:&quot;mm"/>
    <numFmt numFmtId="174" formatCode="HH:mm:ss"/>
    <numFmt numFmtId="175" formatCode="dd.MM.yyyy HH:mm:ss"/>
  </numFmts>
  <fonts count="36">
    <font>
      <sz val="10.0"/>
      <color rgb="FF000000"/>
      <name val="Calibri"/>
      <scheme val="minor"/>
    </font>
    <font>
      <b/>
      <i/>
      <sz val="18.0"/>
      <color theme="1"/>
      <name val="Calibri"/>
    </font>
    <font>
      <sz val="11.0"/>
      <color theme="1"/>
      <name val="Calibri"/>
    </font>
    <font>
      <sz val="12.0"/>
      <color theme="1"/>
      <name val="Calibri"/>
    </font>
    <font/>
    <font>
      <b/>
      <i/>
      <sz val="16.0"/>
      <color theme="1"/>
      <name val="Calibri"/>
    </font>
    <font>
      <sz val="12.0"/>
      <color rgb="FFFF0000"/>
      <name val="Calibri"/>
    </font>
    <font>
      <sz val="12.0"/>
      <color rgb="FF1F497D"/>
      <name val="Calibri"/>
    </font>
    <font>
      <sz val="12.0"/>
      <color rgb="FF008000"/>
      <name val="Calibri"/>
    </font>
    <font>
      <b/>
      <i/>
      <sz val="10.0"/>
      <color theme="1"/>
      <name val="Calibri"/>
    </font>
    <font>
      <sz val="6.0"/>
      <color theme="1"/>
      <name val="Calibri"/>
    </font>
    <font>
      <sz val="9.0"/>
      <color theme="1"/>
      <name val="Calibri"/>
    </font>
    <font>
      <sz val="4.0"/>
      <color rgb="FFFF0000"/>
      <name val="Calibri"/>
    </font>
    <font>
      <sz val="10.0"/>
      <color theme="0"/>
      <name val="Calibri"/>
    </font>
    <font>
      <sz val="5.0"/>
      <color rgb="FFFFFFFF"/>
      <name val="Calibri"/>
    </font>
    <font>
      <sz val="4.0"/>
      <color rgb="FF0070C0"/>
      <name val="Calibri"/>
    </font>
    <font>
      <sz val="4.0"/>
      <color rgb="FFFFFFFF"/>
      <name val="Calibri"/>
    </font>
    <font>
      <sz val="3.0"/>
      <color theme="0"/>
      <name val="Calibri"/>
    </font>
    <font>
      <sz val="10.0"/>
      <color theme="1"/>
      <name val="Calibri"/>
    </font>
    <font>
      <sz val="5.0"/>
      <color theme="1"/>
      <name val="Calibri"/>
    </font>
    <font>
      <sz val="4.0"/>
      <color theme="0"/>
      <name val="Calibri"/>
    </font>
    <font>
      <sz val="8.0"/>
      <color theme="1"/>
      <name val="Calibri"/>
    </font>
    <font>
      <b/>
      <sz val="11.0"/>
      <color theme="1"/>
      <name val="Times New Roman"/>
    </font>
    <font>
      <b/>
      <sz val="11.0"/>
      <color theme="1"/>
      <name val="Calibri"/>
    </font>
    <font>
      <sz val="11.0"/>
      <color rgb="FF000000"/>
      <name val="Calibri"/>
    </font>
    <font>
      <color theme="1"/>
      <name val="Calibri"/>
      <scheme val="minor"/>
    </font>
    <font>
      <sz val="14.0"/>
      <color theme="1"/>
      <name val="Times New Roman"/>
    </font>
    <font>
      <sz val="11.0"/>
      <color rgb="FFFFFFFF"/>
      <name val="Calibri"/>
    </font>
    <font>
      <b/>
      <sz val="14.0"/>
      <color theme="1"/>
      <name val="Times New Roman"/>
    </font>
    <font>
      <b/>
      <u/>
      <sz val="14.0"/>
      <color theme="1"/>
      <name val="Times New Roman"/>
    </font>
    <font>
      <b/>
      <u/>
      <sz val="14.0"/>
      <color theme="1"/>
      <name val="Times New Roman"/>
    </font>
    <font>
      <b/>
      <u/>
      <sz val="14.0"/>
      <color theme="1"/>
      <name val="Times New Roman"/>
    </font>
    <font>
      <b/>
      <u/>
      <sz val="14.0"/>
      <color theme="1"/>
      <name val="Times New Roman"/>
    </font>
    <font>
      <sz val="12.0"/>
      <color theme="1"/>
      <name val="Times New Roman"/>
    </font>
    <font>
      <b/>
      <sz val="12.0"/>
      <color theme="1"/>
      <name val="Times New Roman"/>
    </font>
    <font>
      <sz val="9.0"/>
      <color rgb="FF1F1F1F"/>
      <name val="&quot;Google Sans&quot;"/>
    </font>
  </fonts>
  <fills count="19">
    <fill>
      <patternFill patternType="none"/>
    </fill>
    <fill>
      <patternFill patternType="lightGray"/>
    </fill>
    <fill>
      <patternFill patternType="solid">
        <fgColor rgb="FFFFFF00"/>
        <bgColor rgb="FFFFFF00"/>
      </patternFill>
    </fill>
    <fill>
      <patternFill patternType="solid">
        <fgColor rgb="FFC6D9F0"/>
        <bgColor rgb="FFC6D9F0"/>
      </patternFill>
    </fill>
    <fill>
      <patternFill patternType="solid">
        <fgColor rgb="FF99FF66"/>
        <bgColor rgb="FF99FF66"/>
      </patternFill>
    </fill>
    <fill>
      <patternFill patternType="solid">
        <fgColor rgb="FFFFC000"/>
        <bgColor rgb="FFFFC000"/>
      </patternFill>
    </fill>
    <fill>
      <patternFill patternType="solid">
        <fgColor rgb="FF00B0F0"/>
        <bgColor rgb="FF00B0F0"/>
      </patternFill>
    </fill>
    <fill>
      <patternFill patternType="solid">
        <fgColor rgb="FFF2F2F2"/>
        <bgColor rgb="FFF2F2F2"/>
      </patternFill>
    </fill>
    <fill>
      <patternFill patternType="solid">
        <fgColor rgb="FFD8D8D8"/>
        <bgColor rgb="FFD8D8D8"/>
      </patternFill>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0070C0"/>
        <bgColor rgb="FF0070C0"/>
      </patternFill>
    </fill>
    <fill>
      <patternFill patternType="solid">
        <fgColor rgb="FF00B050"/>
        <bgColor rgb="FF00B050"/>
      </patternFill>
    </fill>
    <fill>
      <patternFill patternType="solid">
        <fgColor rgb="FF548DD4"/>
        <bgColor rgb="FF548DD4"/>
      </patternFill>
    </fill>
    <fill>
      <patternFill patternType="solid">
        <fgColor rgb="FF92D050"/>
        <bgColor rgb="FF92D050"/>
      </patternFill>
    </fill>
    <fill>
      <patternFill patternType="solid">
        <fgColor rgb="FF8DB3E2"/>
        <bgColor rgb="FF8DB3E2"/>
      </patternFill>
    </fill>
    <fill>
      <patternFill patternType="solid">
        <fgColor rgb="FFEEECE1"/>
        <bgColor rgb="FFEEECE1"/>
      </patternFill>
    </fill>
    <fill>
      <patternFill patternType="solid">
        <fgColor rgb="FFE9EEF6"/>
        <bgColor rgb="FFE9EEF6"/>
      </patternFill>
    </fill>
  </fills>
  <borders count="193">
    <border/>
    <border>
      <left/>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double">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medium">
        <color rgb="FF000000"/>
      </left>
      <right style="thin">
        <color rgb="FF000000"/>
      </right>
    </border>
    <border>
      <left style="thin">
        <color rgb="FF000000"/>
      </left>
      <right style="thin">
        <color rgb="FF000000"/>
      </right>
    </border>
    <border>
      <left style="thin">
        <color rgb="FF000000"/>
      </left>
    </border>
    <border>
      <right style="thin">
        <color rgb="FF000000"/>
      </right>
    </border>
    <border>
      <left style="double">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medium">
        <color rgb="FF000000"/>
      </right>
    </border>
    <border>
      <left style="double">
        <color rgb="FF000000"/>
      </left>
      <top style="thin">
        <color rgb="FF000000"/>
      </top>
    </border>
    <border>
      <right style="thin">
        <color rgb="FF000000"/>
      </right>
      <top style="thin">
        <color rgb="FF000000"/>
      </top>
    </border>
    <border>
      <left style="thin">
        <color rgb="FF000000"/>
      </left>
      <top style="thin">
        <color rgb="FF000000"/>
      </top>
    </border>
    <border>
      <right/>
      <top style="thin">
        <color rgb="FF000000"/>
      </top>
    </border>
    <border>
      <right style="medium">
        <color rgb="FF000000"/>
      </right>
      <top style="thin">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double">
        <color rgb="FF000000"/>
      </left>
    </border>
    <border>
      <right/>
    </border>
    <border>
      <left style="medium">
        <color rgb="FF000000"/>
      </left>
      <top style="thin">
        <color rgb="FF000000"/>
      </top>
    </border>
    <border>
      <right style="double">
        <color rgb="FF000000"/>
      </right>
      <top style="thin">
        <color rgb="FF000000"/>
      </top>
    </border>
    <border>
      <left/>
      <top style="thin">
        <color rgb="FF000000"/>
      </top>
    </border>
    <border>
      <left/>
      <top/>
    </border>
    <border>
      <right style="thin">
        <color rgb="FF000000"/>
      </right>
      <top/>
    </border>
    <border>
      <left style="thin">
        <color rgb="FF000000"/>
      </left>
      <top/>
    </border>
    <border>
      <right style="medium">
        <color rgb="FF000000"/>
      </right>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ck">
        <color rgb="FF000000"/>
      </bottom>
    </border>
    <border>
      <right style="thin">
        <color rgb="FF000000"/>
      </right>
      <bottom style="thick">
        <color rgb="FF000000"/>
      </bottom>
    </border>
    <border>
      <left style="thin">
        <color rgb="FF000000"/>
      </left>
      <bottom style="thin">
        <color rgb="FF000000"/>
      </bottom>
    </border>
    <border>
      <left style="double">
        <color rgb="FF000000"/>
      </left>
      <bottom style="thin">
        <color rgb="FF000000"/>
      </bottom>
    </border>
    <border>
      <right style="thin">
        <color rgb="FF000000"/>
      </right>
      <bottom style="thin">
        <color rgb="FF000000"/>
      </bottom>
    </border>
    <border>
      <right/>
      <bottom style="thin">
        <color rgb="FF000000"/>
      </bottom>
    </border>
    <border>
      <right/>
      <bottom style="medium">
        <color rgb="FF000000"/>
      </bottom>
    </border>
    <border>
      <right style="thin">
        <color rgb="FF000000"/>
      </right>
      <bottom style="medium">
        <color rgb="FF000000"/>
      </bottom>
    </border>
    <border>
      <left style="thin">
        <color rgb="FF000000"/>
      </left>
      <bottom style="medium">
        <color rgb="FF000000"/>
      </bottom>
    </border>
    <border>
      <right style="double">
        <color rgb="FF000000"/>
      </right>
      <bottom style="medium">
        <color rgb="FF000000"/>
      </bottom>
    </border>
    <border>
      <left/>
      <bottom style="medium">
        <color rgb="FF000000"/>
      </bottom>
    </border>
    <border>
      <top style="thin">
        <color rgb="FF000000"/>
      </top>
    </border>
    <border>
      <right style="thin">
        <color rgb="FF000000"/>
      </right>
      <top style="thin">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bottom style="thin">
        <color rgb="FF000000"/>
      </bottom>
    </border>
    <border>
      <left style="thin">
        <color rgb="FF000000"/>
      </left>
      <right style="medium">
        <color rgb="FF000000"/>
      </right>
      <top style="medium">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double">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double">
        <color rgb="FF000000"/>
      </top>
    </border>
    <border>
      <left style="thin">
        <color rgb="FF000000"/>
      </left>
      <right style="thin">
        <color rgb="FF000000"/>
      </right>
      <top style="double">
        <color rgb="FF000000"/>
      </top>
    </border>
    <border>
      <left style="thin">
        <color rgb="FF000000"/>
      </left>
      <right/>
      <top style="double">
        <color rgb="FF000000"/>
      </top>
      <bottom/>
    </border>
    <border>
      <left style="thin">
        <color rgb="FF000000"/>
      </left>
      <right/>
      <top style="double">
        <color rgb="FF000000"/>
      </top>
    </border>
    <border>
      <right style="thin">
        <color rgb="FF000000"/>
      </right>
      <top style="double">
        <color rgb="FF000000"/>
      </top>
    </border>
    <border>
      <top style="double">
        <color rgb="FF000000"/>
      </top>
    </border>
    <border>
      <right style="double">
        <color rgb="FF000000"/>
      </right>
      <top style="double">
        <color rgb="FF000000"/>
      </top>
    </border>
    <border>
      <left style="double">
        <color rgb="FF000000"/>
      </left>
      <right style="medium">
        <color rgb="FF000000"/>
      </right>
      <top style="thin">
        <color rgb="FF000000"/>
      </top>
    </border>
    <border>
      <left style="thin">
        <color rgb="FF000000"/>
      </left>
      <right/>
      <top/>
      <bottom/>
    </border>
    <border>
      <left style="thin">
        <color rgb="FF000000"/>
      </left>
      <right/>
    </border>
    <border>
      <left style="double">
        <color rgb="FF000000"/>
      </left>
      <right/>
      <top/>
      <bottom/>
    </border>
    <border>
      <right style="double">
        <color rgb="FF000000"/>
      </right>
    </border>
    <border>
      <left style="double">
        <color rgb="FF000000"/>
      </left>
      <right style="medium">
        <color rgb="FF000000"/>
      </right>
    </border>
    <border>
      <left style="thin">
        <color rgb="FF000000"/>
      </left>
      <right/>
      <bottom style="thin">
        <color rgb="FF000000"/>
      </bottom>
    </border>
    <border>
      <left/>
      <right style="thin">
        <color rgb="FF000000"/>
      </right>
      <top/>
      <bottom style="thin">
        <color rgb="FF000000"/>
      </bottom>
    </border>
    <border>
      <left style="double">
        <color rgb="FF000000"/>
      </left>
      <right style="medium">
        <color rgb="FF000000"/>
      </right>
      <bottom style="thin">
        <color rgb="FF000000"/>
      </bottom>
    </border>
    <border>
      <left style="thin">
        <color rgb="FF000000"/>
      </left>
      <right/>
      <top style="thin">
        <color rgb="FF000000"/>
      </top>
    </border>
    <border>
      <left style="medium">
        <color rgb="FF000000"/>
      </left>
      <right/>
      <top/>
      <bottom/>
    </border>
    <border>
      <left style="medium">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top/>
      <bottom style="thin">
        <color rgb="FF000000"/>
      </bottom>
    </border>
    <border>
      <left style="thin">
        <color rgb="FF000000"/>
      </left>
      <right/>
      <bottom style="double">
        <color rgb="FF000000"/>
      </bottom>
    </border>
    <border>
      <left style="double">
        <color rgb="FF000000"/>
      </left>
      <right style="thin">
        <color rgb="FF000000"/>
      </right>
      <top/>
      <bottom style="thin">
        <color rgb="FF000000"/>
      </bottom>
    </border>
    <border>
      <left/>
      <right style="medium">
        <color rgb="FF000000"/>
      </right>
      <top/>
      <bottom style="thin">
        <color rgb="FF000000"/>
      </bottom>
    </border>
    <border>
      <left/>
      <right/>
      <top/>
      <bottom style="thin">
        <color rgb="FF000000"/>
      </bottom>
    </border>
    <border>
      <left style="medium">
        <color rgb="FF000000"/>
      </left>
      <right style="thin">
        <color rgb="FF000000"/>
      </right>
      <top/>
      <bottom style="thin">
        <color rgb="FF000000"/>
      </bottom>
    </border>
    <border>
      <left style="medium">
        <color rgb="FF000000"/>
      </left>
      <right style="thin">
        <color rgb="FF000000"/>
      </right>
      <bottom style="thick">
        <color rgb="FF002060"/>
      </bottom>
    </border>
    <border>
      <left style="thin">
        <color rgb="FF000000"/>
      </left>
      <right style="thin">
        <color rgb="FF000000"/>
      </right>
      <bottom style="thick">
        <color rgb="FF002060"/>
      </bottom>
    </border>
    <border>
      <left style="thin">
        <color rgb="FF000000"/>
      </left>
      <right/>
      <top/>
      <bottom style="thick">
        <color rgb="FF002060"/>
      </bottom>
    </border>
    <border>
      <right style="thin">
        <color rgb="FF000000"/>
      </right>
      <bottom style="thick">
        <color rgb="FF002060"/>
      </bottom>
    </border>
    <border>
      <left style="thin">
        <color rgb="FF000000"/>
      </left>
      <right/>
      <bottom style="thick">
        <color rgb="FF002060"/>
      </bottom>
    </border>
    <border>
      <left style="double">
        <color rgb="FF000000"/>
      </left>
      <bottom style="thick">
        <color rgb="FF002060"/>
      </bottom>
    </border>
    <border>
      <left/>
      <right style="thin">
        <color rgb="FF000000"/>
      </right>
      <top/>
      <bottom style="thick">
        <color rgb="FF002060"/>
      </bottom>
    </border>
    <border>
      <left style="double">
        <color rgb="FF000000"/>
      </left>
      <right style="medium">
        <color rgb="FF000000"/>
      </right>
      <bottom style="thick">
        <color rgb="FF002060"/>
      </bottom>
    </border>
    <border>
      <left style="double">
        <color rgb="FF000000"/>
      </left>
      <right style="thin">
        <color rgb="FF000000"/>
      </right>
      <top/>
      <bottom style="thick">
        <color rgb="FF002060"/>
      </bottom>
    </border>
    <border>
      <left style="thin">
        <color rgb="FF000000"/>
      </left>
      <bottom style="thick">
        <color rgb="FF002060"/>
      </bottom>
    </border>
    <border>
      <left style="medium">
        <color rgb="FF000000"/>
      </left>
      <right style="thin">
        <color rgb="FF000000"/>
      </right>
      <top/>
      <bottom/>
    </border>
    <border>
      <left style="thin">
        <color rgb="FF000000"/>
      </left>
      <right style="thin">
        <color rgb="FF000000"/>
      </right>
      <top/>
      <bottom/>
    </border>
    <border>
      <left/>
      <right style="thin">
        <color rgb="FF000000"/>
      </right>
      <top/>
      <bottom/>
    </border>
    <border>
      <left/>
      <right style="double">
        <color rgb="FF000000"/>
      </right>
      <top/>
      <bottom/>
    </border>
    <border>
      <left style="double">
        <color rgb="FF000000"/>
      </left>
      <right style="medium">
        <color rgb="FF000000"/>
      </right>
      <top/>
      <bottom/>
    </border>
    <border>
      <left/>
      <right style="medium">
        <color rgb="FF000000"/>
      </right>
      <top/>
      <bottom/>
    </border>
    <border>
      <left style="thin">
        <color rgb="FF000000"/>
      </left>
      <right/>
      <top/>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style="medium">
        <color rgb="FF000000"/>
      </right>
    </border>
    <border>
      <left style="thin">
        <color rgb="FF000000"/>
      </left>
      <right style="thin">
        <color rgb="FF000000"/>
      </right>
      <top/>
      <bottom style="thin">
        <color rgb="FF000000"/>
      </bottom>
    </border>
    <border>
      <right style="medium">
        <color rgb="FF000000"/>
      </right>
      <top style="double">
        <color rgb="FF000000"/>
      </top>
    </border>
    <border>
      <left/>
      <right style="thin">
        <color rgb="FF000000"/>
      </right>
      <top/>
    </border>
    <border>
      <left/>
      <right style="thin">
        <color rgb="FF000000"/>
      </right>
    </border>
    <border>
      <left/>
      <right style="thin">
        <color rgb="FF000000"/>
      </right>
      <bottom/>
    </border>
    <border>
      <left style="medium">
        <color rgb="FF000000"/>
      </left>
      <right/>
      <top style="medium">
        <color rgb="FF000000"/>
      </top>
      <bottom/>
    </border>
    <border>
      <left style="double">
        <color rgb="FF000000"/>
      </left>
      <right style="medium">
        <color rgb="FF000000"/>
      </right>
      <top style="medium">
        <color rgb="FF000000"/>
      </top>
    </border>
    <border>
      <left style="medium">
        <color rgb="FF000000"/>
      </left>
      <right/>
      <top style="double">
        <color rgb="FF000000"/>
      </top>
      <bottom/>
    </border>
    <border>
      <right style="double">
        <color rgb="FF000000"/>
      </right>
      <top style="medium">
        <color rgb="FF000000"/>
      </top>
    </border>
    <border>
      <left style="double">
        <color rgb="FF000000"/>
      </left>
      <right style="medium">
        <color rgb="FF000000"/>
      </right>
      <bottom style="medium">
        <color rgb="FF000000"/>
      </bottom>
    </border>
    <border>
      <left/>
      <right style="thin">
        <color rgb="FF000000"/>
      </right>
      <top/>
      <bottom style="medium">
        <color rgb="FF000000"/>
      </bottom>
    </border>
    <border>
      <left/>
      <right style="medium">
        <color rgb="FF000000"/>
      </right>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top/>
      <bottom style="medium">
        <color rgb="FF000000"/>
      </bottom>
    </border>
    <border>
      <left style="thin">
        <color rgb="FF000000"/>
      </left>
      <right/>
      <bottom style="medium">
        <color rgb="FF000000"/>
      </bottom>
    </border>
    <border>
      <left style="double">
        <color rgb="FF000000"/>
      </left>
      <bottom style="medium">
        <color rgb="FF000000"/>
      </bottom>
    </border>
    <border>
      <left/>
      <right/>
      <top/>
      <bottom style="medium">
        <color rgb="FF000000"/>
      </bottom>
    </border>
    <border>
      <left style="medium">
        <color rgb="FF000000"/>
      </left>
      <right style="thin">
        <color rgb="FF000000"/>
      </right>
      <top/>
      <bottom style="medium">
        <color rgb="FF000000"/>
      </bottom>
    </border>
    <border>
      <left style="thick">
        <color rgb="FF000000"/>
      </left>
      <right style="thin">
        <color rgb="FF000000"/>
      </right>
    </border>
    <border>
      <left style="thick">
        <color rgb="FF000000"/>
      </left>
      <right style="thin">
        <color rgb="FF000000"/>
      </right>
      <bottom style="thin">
        <color rgb="FF000000"/>
      </bottom>
    </border>
    <border>
      <left style="thick">
        <color rgb="FF000000"/>
      </left>
      <right style="thin">
        <color rgb="FF000000"/>
      </right>
      <top style="thin">
        <color rgb="FF000000"/>
      </top>
    </border>
    <border>
      <left style="thin">
        <color rgb="FF000000"/>
      </left>
      <right/>
      <top style="thin">
        <color rgb="FF000000"/>
      </top>
      <bottom/>
    </border>
    <border>
      <left style="double">
        <color rgb="FF000000"/>
      </left>
      <right/>
      <top style="thin">
        <color rgb="FF000000"/>
      </top>
      <bottom/>
    </border>
    <border>
      <left style="medium">
        <color rgb="FF000000"/>
      </left>
      <right/>
      <top style="thin">
        <color rgb="FF000000"/>
      </top>
      <bottom/>
    </border>
    <border>
      <left style="thin">
        <color rgb="FF000000"/>
      </left>
      <right/>
      <bottom/>
    </border>
    <border>
      <left style="thick">
        <color rgb="FF000000"/>
      </left>
      <right style="thin">
        <color rgb="FF000000"/>
      </right>
      <top style="medium">
        <color rgb="FF000000"/>
      </top>
    </border>
    <border>
      <left style="double">
        <color rgb="FF000000"/>
      </left>
      <right/>
      <top style="medium">
        <color rgb="FF000000"/>
      </top>
      <bottom/>
    </border>
    <border>
      <left style="thin">
        <color rgb="FF000000"/>
      </left>
      <right/>
      <top style="medium">
        <color rgb="FF000000"/>
      </top>
    </border>
    <border>
      <left style="thin">
        <color rgb="FF000000"/>
      </left>
      <right/>
      <top style="medium">
        <color rgb="FF000000"/>
      </top>
      <bottom/>
    </border>
    <border>
      <left style="thick">
        <color rgb="FF000000"/>
      </left>
      <right style="thin">
        <color rgb="FF000000"/>
      </right>
      <bottom style="double">
        <color rgb="FF000000"/>
      </bottom>
    </border>
    <border>
      <left style="thin">
        <color rgb="FF000000"/>
      </left>
      <bottom style="double">
        <color rgb="FF000000"/>
      </bottom>
    </border>
    <border>
      <right style="thin">
        <color rgb="FF000000"/>
      </right>
      <bottom style="double">
        <color rgb="FF000000"/>
      </bottom>
    </border>
    <border>
      <bottom style="double">
        <color rgb="FF000000"/>
      </bottom>
    </border>
    <border>
      <left style="double">
        <color rgb="FF000000"/>
      </left>
      <bottom style="double">
        <color rgb="FF000000"/>
      </bottom>
    </border>
    <border>
      <left style="medium">
        <color rgb="FF000000"/>
      </left>
      <bottom style="double">
        <color rgb="FF000000"/>
      </bottom>
    </border>
    <border>
      <right style="medium">
        <color rgb="FF000000"/>
      </right>
      <bottom style="double">
        <color rgb="FF000000"/>
      </bottom>
    </border>
    <border>
      <left style="double">
        <color rgb="FF000000"/>
      </left>
      <top/>
      <bottom style="thin">
        <color rgb="FF000000"/>
      </bottom>
    </border>
    <border>
      <right style="thin">
        <color rgb="FF000000"/>
      </right>
      <top/>
      <bottom style="thin">
        <color rgb="FF000000"/>
      </bottom>
    </border>
    <border>
      <right/>
      <top/>
      <bottom style="thin">
        <color rgb="FF000000"/>
      </bottom>
    </border>
    <border>
      <left style="medium">
        <color rgb="FF000000"/>
      </left>
      <top/>
      <bottom style="thin">
        <color rgb="FF000000"/>
      </bottom>
    </border>
    <border>
      <right style="medium">
        <color rgb="FF000000"/>
      </right>
      <top/>
      <bottom style="thin">
        <color rgb="FF000000"/>
      </bottom>
    </border>
    <border>
      <left style="medium">
        <color rgb="FF000000"/>
      </left>
      <top style="thin">
        <color rgb="FF000000"/>
      </top>
      <bottom style="thin">
        <color rgb="FF000000"/>
      </bottom>
    </border>
    <border>
      <left style="thin">
        <color rgb="FF000000"/>
      </left>
      <right/>
      <top style="thin">
        <color rgb="FF000000"/>
      </top>
      <bottom style="thin">
        <color rgb="FF000000"/>
      </bottom>
    </border>
    <border>
      <left style="thick">
        <color rgb="FF000000"/>
      </left>
      <top style="thin">
        <color rgb="FF000000"/>
      </top>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ck">
        <color rgb="FF000000"/>
      </left>
      <bottom style="medium">
        <color rgb="FF000000"/>
      </bottom>
    </border>
    <border>
      <left style="double">
        <color rgb="FF000000"/>
      </left>
      <top style="thin">
        <color rgb="FF000000"/>
      </top>
      <bottom style="medium">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top/>
    </border>
    <border>
      <left/>
    </border>
    <border>
      <left/>
      <top/>
      <bottom/>
    </border>
    <border>
      <right style="medium">
        <color rgb="FF000000"/>
      </right>
      <top/>
      <bottom/>
    </border>
    <border>
      <left/>
      <right style="medium">
        <color rgb="FF000000"/>
      </right>
      <top/>
    </border>
    <border>
      <left style="medium">
        <color rgb="FF000000"/>
      </left>
      <right style="thin">
        <color rgb="FF000000"/>
      </right>
      <top style="thin">
        <color rgb="FF000000"/>
      </top>
      <bottom/>
    </border>
    <border>
      <left style="thin">
        <color rgb="FF000000"/>
      </left>
      <right style="medium">
        <color rgb="FF000000"/>
      </right>
      <top style="thin">
        <color rgb="FF000000"/>
      </top>
      <bottom style="medium">
        <color rgb="FF000000"/>
      </bottom>
    </border>
    <border>
      <left/>
      <right style="medium">
        <color rgb="FF000000"/>
      </right>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medium">
        <color rgb="FF000000"/>
      </top>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thin">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s>
  <cellStyleXfs count="1">
    <xf borderId="0" fillId="0" fontId="0" numFmtId="0" applyAlignment="1" applyFont="1"/>
  </cellStyleXfs>
  <cellXfs count="56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right" vertical="center"/>
    </xf>
    <xf borderId="1" fillId="2" fontId="2" numFmtId="164" xfId="0" applyAlignment="1" applyBorder="1" applyFill="1" applyFont="1" applyNumberFormat="1">
      <alignment horizontal="center" readingOrder="0"/>
    </xf>
    <xf borderId="0" fillId="0" fontId="2" numFmtId="2" xfId="0" applyFont="1" applyNumberFormat="1"/>
    <xf borderId="0" fillId="0" fontId="2" numFmtId="1" xfId="0" applyFont="1" applyNumberFormat="1"/>
    <xf borderId="0" fillId="0" fontId="2" numFmtId="165" xfId="0" applyFont="1" applyNumberFormat="1"/>
    <xf borderId="0" fillId="0" fontId="2" numFmtId="0" xfId="0" applyFont="1"/>
    <xf borderId="2"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horizontal="center" vertical="center"/>
    </xf>
    <xf borderId="3" fillId="0" fontId="3" numFmtId="49" xfId="0" applyAlignment="1" applyBorder="1" applyFont="1" applyNumberFormat="1">
      <alignment horizontal="center" shrinkToFit="0" textRotation="90" vertical="center" wrapText="1"/>
    </xf>
    <xf borderId="4" fillId="0" fontId="3" numFmtId="0" xfId="0" applyAlignment="1" applyBorder="1" applyFont="1">
      <alignment horizontal="center" shrinkToFit="0" textRotation="90" vertical="center" wrapText="1"/>
    </xf>
    <xf borderId="5" fillId="0" fontId="4" numFmtId="0" xfId="0" applyBorder="1" applyFont="1"/>
    <xf borderId="3" fillId="0" fontId="3" numFmtId="0" xfId="0" applyAlignment="1" applyBorder="1" applyFont="1">
      <alignment horizontal="center" shrinkToFit="0" textRotation="90" vertical="center" wrapText="1"/>
    </xf>
    <xf borderId="6" fillId="3" fontId="5" numFmtId="0" xfId="0" applyAlignment="1" applyBorder="1" applyFill="1" applyFont="1">
      <alignment horizontal="center" readingOrder="0" vertical="center"/>
    </xf>
    <xf borderId="7" fillId="0" fontId="4" numFmtId="0" xfId="0" applyBorder="1" applyFont="1"/>
    <xf borderId="8" fillId="0" fontId="4" numFmtId="0" xfId="0" applyBorder="1" applyFont="1"/>
    <xf borderId="9" fillId="4" fontId="5" numFmtId="0" xfId="0" applyAlignment="1" applyBorder="1" applyFill="1" applyFont="1">
      <alignment horizontal="center" vertical="center"/>
    </xf>
    <xf borderId="10" fillId="0" fontId="4" numFmtId="0" xfId="0" applyBorder="1" applyFont="1"/>
    <xf borderId="11" fillId="0" fontId="4" numFmtId="0" xfId="0" applyBorder="1" applyFont="1"/>
    <xf borderId="9" fillId="5" fontId="5" numFmtId="0" xfId="0" applyAlignment="1" applyBorder="1" applyFill="1" applyFont="1">
      <alignment horizontal="center" readingOrder="0" vertical="center"/>
    </xf>
    <xf borderId="12" fillId="0" fontId="2"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7" fillId="2" fontId="3" numFmtId="0" xfId="0" applyAlignment="1" applyBorder="1" applyFont="1">
      <alignment horizontal="center"/>
    </xf>
    <xf borderId="18" fillId="0" fontId="4" numFmtId="0" xfId="0" applyBorder="1" applyFont="1"/>
    <xf borderId="19" fillId="0" fontId="4" numFmtId="0" xfId="0" applyBorder="1" applyFont="1"/>
    <xf borderId="20" fillId="6" fontId="3" numFmtId="0" xfId="0" applyAlignment="1" applyBorder="1" applyFill="1" applyFont="1">
      <alignment horizontal="center"/>
    </xf>
    <xf borderId="21" fillId="0" fontId="4" numFmtId="0" xfId="0" applyBorder="1" applyFont="1"/>
    <xf borderId="12" fillId="0" fontId="4" numFmtId="0" xfId="0" applyBorder="1" applyFont="1"/>
    <xf borderId="22" fillId="0" fontId="4" numFmtId="0" xfId="0" applyBorder="1" applyFont="1"/>
    <xf borderId="23" fillId="0" fontId="6" numFmtId="0" xfId="0" applyAlignment="1" applyBorder="1" applyFont="1">
      <alignment horizontal="center" textRotation="90" vertical="center"/>
    </xf>
    <xf borderId="24" fillId="0" fontId="4" numFmtId="0" xfId="0" applyBorder="1" applyFont="1"/>
    <xf borderId="25" fillId="7" fontId="7" numFmtId="0" xfId="0" applyAlignment="1" applyBorder="1" applyFill="1" applyFont="1">
      <alignment horizontal="center" textRotation="90" vertical="center"/>
    </xf>
    <xf borderId="25" fillId="8" fontId="8" numFmtId="0" xfId="0" applyAlignment="1" applyBorder="1" applyFill="1" applyFont="1">
      <alignment horizontal="center" textRotation="90" vertical="center"/>
    </xf>
    <xf borderId="26" fillId="0" fontId="4" numFmtId="0" xfId="0" applyBorder="1" applyFont="1"/>
    <xf borderId="25" fillId="0" fontId="6" numFmtId="0" xfId="0" applyAlignment="1" applyBorder="1" applyFont="1">
      <alignment horizontal="center" textRotation="90" vertical="center"/>
    </xf>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36" fillId="4" fontId="9" numFmtId="0" xfId="0" applyAlignment="1" applyBorder="1" applyFont="1">
      <alignment horizontal="center" shrinkToFit="0" textRotation="90" vertical="center" wrapText="1"/>
    </xf>
    <xf borderId="25" fillId="4" fontId="9" numFmtId="0" xfId="0" applyAlignment="1" applyBorder="1" applyFont="1">
      <alignment horizontal="center" shrinkToFit="0" textRotation="90" vertical="center" wrapText="1"/>
    </xf>
    <xf borderId="37" fillId="0" fontId="4" numFmtId="0" xfId="0" applyBorder="1" applyFont="1"/>
    <xf borderId="36" fillId="5" fontId="9" numFmtId="0" xfId="0" applyAlignment="1" applyBorder="1" applyFont="1">
      <alignment horizontal="center" shrinkToFit="0" textRotation="90" vertical="center" wrapText="1"/>
    </xf>
    <xf borderId="25" fillId="5" fontId="9" numFmtId="0" xfId="0" applyAlignment="1" applyBorder="1" applyFont="1">
      <alignment horizontal="center" shrinkToFit="0" textRotation="90" vertical="center" wrapText="1"/>
    </xf>
    <xf borderId="38" fillId="5" fontId="9" numFmtId="0" xfId="0" applyAlignment="1" applyBorder="1" applyFont="1">
      <alignment horizontal="center" shrinkToFit="0" textRotation="90" vertical="center" wrapText="1"/>
    </xf>
    <xf borderId="39" fillId="4" fontId="9" numFmtId="0" xfId="0" applyAlignment="1" applyBorder="1" applyFont="1">
      <alignment horizontal="center" shrinkToFit="0" textRotation="90" vertical="center" wrapText="1"/>
    </xf>
    <xf borderId="40" fillId="0" fontId="4" numFmtId="0" xfId="0" applyBorder="1" applyFont="1"/>
    <xf borderId="41" fillId="4" fontId="9" numFmtId="0" xfId="0" applyAlignment="1" applyBorder="1" applyFont="1">
      <alignment horizontal="center" shrinkToFit="0" textRotation="90" vertical="center" wrapText="1"/>
    </xf>
    <xf borderId="42" fillId="0" fontId="4" numFmtId="0" xfId="0" applyBorder="1" applyFont="1"/>
    <xf borderId="43" fillId="0" fontId="4" numFmtId="0" xfId="0" applyBorder="1" applyFont="1"/>
    <xf borderId="44" fillId="0" fontId="4" numFmtId="0" xfId="0" applyBorder="1" applyFont="1"/>
    <xf borderId="45" fillId="0" fontId="4" numFmtId="0" xfId="0" applyBorder="1" applyFont="1"/>
    <xf borderId="46" fillId="0" fontId="4" numFmtId="0" xfId="0" applyBorder="1" applyFont="1"/>
    <xf borderId="47" fillId="0" fontId="4" numFmtId="0" xfId="0" applyBorder="1" applyFont="1"/>
    <xf borderId="48" fillId="0" fontId="4" numFmtId="0" xfId="0" applyBorder="1" applyFont="1"/>
    <xf borderId="49" fillId="0" fontId="4" numFmtId="0" xfId="0" applyBorder="1" applyFont="1"/>
    <xf borderId="50" fillId="0" fontId="4" numFmtId="0" xfId="0" applyBorder="1" applyFont="1"/>
    <xf borderId="51" fillId="0" fontId="4" numFmtId="0" xfId="0" applyBorder="1" applyFont="1"/>
    <xf borderId="52" fillId="0" fontId="4" numFmtId="0" xfId="0" applyBorder="1" applyFont="1"/>
    <xf borderId="53" fillId="0" fontId="4" numFmtId="0" xfId="0" applyBorder="1" applyFont="1"/>
    <xf borderId="54" fillId="0" fontId="4" numFmtId="0" xfId="0" applyBorder="1" applyFont="1"/>
    <xf borderId="55" fillId="0" fontId="4" numFmtId="0" xfId="0" applyBorder="1" applyFont="1"/>
    <xf borderId="12" fillId="0" fontId="2" numFmtId="0" xfId="0" applyAlignment="1" applyBorder="1" applyFont="1">
      <alignment horizontal="center"/>
    </xf>
    <xf borderId="36" fillId="0" fontId="3" numFmtId="0" xfId="0" applyAlignment="1" applyBorder="1" applyFont="1">
      <alignment horizontal="center" shrinkToFit="0" vertical="center" wrapText="1"/>
    </xf>
    <xf borderId="56" fillId="0" fontId="4" numFmtId="0" xfId="0" applyBorder="1" applyFont="1"/>
    <xf borderId="20" fillId="0" fontId="3" numFmtId="49" xfId="0" applyAlignment="1" applyBorder="1" applyFont="1" applyNumberFormat="1">
      <alignment horizontal="center" shrinkToFit="0" textRotation="90" vertical="center" wrapText="1"/>
    </xf>
    <xf borderId="57" fillId="0" fontId="4" numFmtId="0" xfId="0" applyBorder="1" applyFont="1"/>
    <xf borderId="58" fillId="0" fontId="10" numFmtId="1" xfId="0" applyAlignment="1" applyBorder="1" applyFont="1" applyNumberFormat="1">
      <alignment horizontal="center" textRotation="90" vertical="center"/>
    </xf>
    <xf borderId="59" fillId="0" fontId="3" numFmtId="49" xfId="0" applyAlignment="1" applyBorder="1" applyFont="1" applyNumberFormat="1">
      <alignment horizontal="center"/>
    </xf>
    <xf borderId="59" fillId="0" fontId="10" numFmtId="1" xfId="0" applyAlignment="1" applyBorder="1" applyFont="1" applyNumberFormat="1">
      <alignment horizontal="center" textRotation="90" vertical="center"/>
    </xf>
    <xf borderId="20" fillId="0" fontId="3" numFmtId="49" xfId="0" applyAlignment="1" applyBorder="1" applyFont="1" applyNumberFormat="1">
      <alignment horizontal="center"/>
    </xf>
    <xf borderId="60" fillId="0" fontId="10" numFmtId="1" xfId="0" applyAlignment="1" applyBorder="1" applyFont="1" applyNumberFormat="1">
      <alignment horizontal="center" textRotation="90" vertical="center"/>
    </xf>
    <xf borderId="61" fillId="0" fontId="3" numFmtId="49" xfId="0" applyAlignment="1" applyBorder="1" applyFont="1" applyNumberFormat="1">
      <alignment horizontal="center"/>
    </xf>
    <xf borderId="62" fillId="0" fontId="10" numFmtId="1" xfId="0" applyAlignment="1" applyBorder="1" applyFont="1" applyNumberFormat="1">
      <alignment horizontal="center" textRotation="90" vertical="center"/>
    </xf>
    <xf borderId="44" fillId="0" fontId="3" numFmtId="49" xfId="0" applyAlignment="1" applyBorder="1" applyFont="1" applyNumberFormat="1">
      <alignment horizontal="center"/>
    </xf>
    <xf borderId="63" fillId="0" fontId="10" numFmtId="1" xfId="0" applyAlignment="1" applyBorder="1" applyFont="1" applyNumberFormat="1">
      <alignment horizontal="center" textRotation="90" vertical="center"/>
    </xf>
    <xf borderId="49" fillId="0" fontId="3" numFmtId="49" xfId="0" applyAlignment="1" applyBorder="1" applyFont="1" applyNumberFormat="1">
      <alignment horizontal="center"/>
    </xf>
    <xf borderId="44" fillId="0" fontId="10" numFmtId="1" xfId="0" applyAlignment="1" applyBorder="1" applyFont="1" applyNumberFormat="1">
      <alignment horizontal="center" textRotation="90" vertical="center"/>
    </xf>
    <xf borderId="47" fillId="0" fontId="3" numFmtId="49" xfId="0" applyAlignment="1" applyBorder="1" applyFont="1" applyNumberFormat="1">
      <alignment horizontal="center"/>
    </xf>
    <xf borderId="64" fillId="0" fontId="10" numFmtId="1" xfId="0" applyAlignment="1" applyBorder="1" applyFont="1" applyNumberFormat="1">
      <alignment horizontal="center" textRotation="90" vertical="center"/>
    </xf>
    <xf borderId="65" fillId="0" fontId="3" numFmtId="49" xfId="0" applyAlignment="1" applyBorder="1" applyFont="1" applyNumberFormat="1">
      <alignment horizontal="center"/>
    </xf>
    <xf borderId="49" fillId="0" fontId="10" numFmtId="1" xfId="0" applyAlignment="1" applyBorder="1" applyFont="1" applyNumberFormat="1">
      <alignment horizontal="center" textRotation="90" vertical="center"/>
    </xf>
    <xf borderId="66" fillId="0" fontId="10" numFmtId="1" xfId="0" applyAlignment="1" applyBorder="1" applyFont="1" applyNumberFormat="1">
      <alignment horizontal="center" textRotation="90" vertical="center"/>
    </xf>
    <xf borderId="61" fillId="0" fontId="10" numFmtId="1" xfId="0" applyAlignment="1" applyBorder="1" applyFont="1" applyNumberFormat="1">
      <alignment horizontal="center" textRotation="90" vertical="center"/>
    </xf>
    <xf borderId="57" fillId="0" fontId="3" numFmtId="49" xfId="0" applyAlignment="1" applyBorder="1" applyFont="1" applyNumberFormat="1">
      <alignment horizontal="center"/>
    </xf>
    <xf borderId="57" fillId="0" fontId="10" numFmtId="1" xfId="0" applyAlignment="1" applyBorder="1" applyFont="1" applyNumberFormat="1">
      <alignment horizontal="center" textRotation="90" vertical="center"/>
    </xf>
    <xf borderId="25" fillId="0" fontId="3" numFmtId="49" xfId="0" applyAlignment="1" applyBorder="1" applyFont="1" applyNumberFormat="1">
      <alignment horizontal="center" shrinkToFit="0" textRotation="90" vertical="center" wrapText="1"/>
    </xf>
    <xf borderId="67" fillId="0" fontId="10" numFmtId="1" xfId="0" applyAlignment="1" applyBorder="1" applyFont="1" applyNumberFormat="1">
      <alignment horizontal="center" textRotation="90" vertical="center"/>
    </xf>
    <xf borderId="68" fillId="0" fontId="3" numFmtId="49" xfId="0" applyAlignment="1" applyBorder="1" applyFont="1" applyNumberFormat="1">
      <alignment horizontal="center"/>
    </xf>
    <xf borderId="68" fillId="0" fontId="10" numFmtId="1" xfId="0" applyAlignment="1" applyBorder="1" applyFont="1" applyNumberFormat="1">
      <alignment horizontal="center" textRotation="90" vertical="center"/>
    </xf>
    <xf borderId="25" fillId="0" fontId="3" numFmtId="49" xfId="0" applyAlignment="1" applyBorder="1" applyFont="1" applyNumberFormat="1">
      <alignment horizontal="center"/>
    </xf>
    <xf borderId="69" fillId="0" fontId="10" numFmtId="1" xfId="0" applyAlignment="1" applyBorder="1" applyFont="1" applyNumberFormat="1">
      <alignment horizontal="center" textRotation="90" vertical="center"/>
    </xf>
    <xf borderId="70" fillId="0" fontId="3" numFmtId="49" xfId="0" applyAlignment="1" applyBorder="1" applyFont="1" applyNumberFormat="1">
      <alignment horizontal="center"/>
    </xf>
    <xf borderId="71" fillId="0" fontId="2" numFmtId="0" xfId="0" applyAlignment="1" applyBorder="1" applyFont="1">
      <alignment horizontal="center" vertical="center"/>
    </xf>
    <xf borderId="72" fillId="0" fontId="11" numFmtId="0" xfId="0" applyAlignment="1" applyBorder="1" applyFont="1">
      <alignment horizontal="center" shrinkToFit="0" vertical="center" wrapText="1"/>
    </xf>
    <xf borderId="72" fillId="0" fontId="2" numFmtId="0" xfId="0" applyBorder="1" applyFont="1"/>
    <xf borderId="72" fillId="0" fontId="2" numFmtId="0" xfId="0" applyAlignment="1" applyBorder="1" applyFont="1">
      <alignment horizontal="center" vertical="center"/>
    </xf>
    <xf borderId="73" fillId="9" fontId="12" numFmtId="0" xfId="0" applyAlignment="1" applyBorder="1" applyFill="1" applyFont="1">
      <alignment vertical="center"/>
    </xf>
    <xf borderId="72" fillId="0" fontId="13" numFmtId="0" xfId="0" applyAlignment="1" applyBorder="1" applyFont="1">
      <alignment horizontal="center" vertical="center"/>
    </xf>
    <xf borderId="74" fillId="10" fontId="2" numFmtId="0" xfId="0" applyAlignment="1" applyBorder="1" applyFill="1" applyFont="1">
      <alignment horizontal="center" vertical="center"/>
    </xf>
    <xf borderId="73" fillId="9" fontId="12" numFmtId="0" xfId="0" applyAlignment="1" applyBorder="1" applyFont="1">
      <alignment horizontal="center" vertical="center"/>
    </xf>
    <xf borderId="75" fillId="0" fontId="14" numFmtId="0" xfId="0" applyAlignment="1" applyBorder="1" applyFont="1">
      <alignment horizontal="right" vertical="center"/>
    </xf>
    <xf borderId="76" fillId="0" fontId="14" numFmtId="0" xfId="0" applyAlignment="1" applyBorder="1" applyFont="1">
      <alignment horizontal="right" vertical="center"/>
    </xf>
    <xf borderId="77" fillId="0" fontId="14" numFmtId="0" xfId="0" applyAlignment="1" applyBorder="1" applyFont="1">
      <alignment horizontal="right" vertical="center"/>
    </xf>
    <xf borderId="25" fillId="0" fontId="15" numFmtId="0" xfId="0" applyAlignment="1" applyBorder="1" applyFont="1">
      <alignment horizontal="center" vertical="center"/>
    </xf>
    <xf borderId="24" fillId="0" fontId="14" numFmtId="0" xfId="0" applyAlignment="1" applyBorder="1" applyFont="1">
      <alignment horizontal="right" vertical="center"/>
    </xf>
    <xf borderId="78" fillId="0" fontId="15" numFmtId="0" xfId="0" applyAlignment="1" applyBorder="1" applyFont="1">
      <alignment horizontal="center" vertical="center"/>
    </xf>
    <xf borderId="56" fillId="0" fontId="14" numFmtId="0" xfId="0" applyAlignment="1" applyBorder="1" applyFont="1">
      <alignment horizontal="right" vertical="center"/>
    </xf>
    <xf borderId="23" fillId="0" fontId="15" numFmtId="0" xfId="0" applyAlignment="1" applyBorder="1" applyFont="1">
      <alignment horizontal="center" vertical="center"/>
    </xf>
    <xf borderId="27" fillId="0" fontId="14" numFmtId="0" xfId="0" applyAlignment="1" applyBorder="1" applyFont="1">
      <alignment horizontal="right" vertical="center"/>
    </xf>
    <xf borderId="56" fillId="0" fontId="15" numFmtId="0" xfId="0" applyAlignment="1" applyBorder="1" applyFont="1">
      <alignment horizontal="center" vertical="center"/>
    </xf>
    <xf borderId="36" fillId="0" fontId="15" numFmtId="0" xfId="0" applyAlignment="1" applyBorder="1" applyFont="1">
      <alignment horizontal="center" vertical="center"/>
    </xf>
    <xf borderId="14" fillId="0" fontId="2" numFmtId="0" xfId="0" applyAlignment="1" applyBorder="1" applyFont="1">
      <alignment horizontal="left" vertical="center"/>
    </xf>
    <xf borderId="79" fillId="11" fontId="16" numFmtId="0" xfId="0" applyAlignment="1" applyBorder="1" applyFill="1" applyFont="1">
      <alignment vertical="center"/>
    </xf>
    <xf borderId="80" fillId="0" fontId="4" numFmtId="0" xfId="0" applyBorder="1" applyFont="1"/>
    <xf borderId="81" fillId="11" fontId="17" numFmtId="1" xfId="0" applyAlignment="1" applyBorder="1" applyFont="1" applyNumberFormat="1">
      <alignment horizontal="center" textRotation="90" vertical="center"/>
    </xf>
    <xf borderId="16" fillId="0" fontId="18" numFmtId="164" xfId="0" applyAlignment="1" applyBorder="1" applyFont="1" applyNumberFormat="1">
      <alignment horizontal="left" readingOrder="0" vertical="center"/>
    </xf>
    <xf borderId="81" fillId="11" fontId="13" numFmtId="164" xfId="0" applyAlignment="1" applyBorder="1" applyFont="1" applyNumberFormat="1">
      <alignment horizontal="center" textRotation="90" vertical="center"/>
    </xf>
    <xf borderId="16" fillId="0" fontId="18" numFmtId="164" xfId="0" applyAlignment="1" applyBorder="1" applyFont="1" applyNumberFormat="1">
      <alignment horizontal="left" vertical="center"/>
    </xf>
    <xf borderId="22" fillId="0" fontId="18" numFmtId="164" xfId="0" applyAlignment="1" applyBorder="1" applyFont="1" applyNumberFormat="1">
      <alignment horizontal="left" vertical="center"/>
    </xf>
    <xf borderId="82" fillId="0" fontId="18" numFmtId="0" xfId="0" applyAlignment="1" applyBorder="1" applyFont="1">
      <alignment horizontal="left" readingOrder="0" vertical="center"/>
    </xf>
    <xf borderId="15" fillId="0" fontId="17" numFmtId="1" xfId="0" applyAlignment="1" applyBorder="1" applyFont="1" applyNumberFormat="1">
      <alignment horizontal="center" textRotation="90" vertical="center"/>
    </xf>
    <xf borderId="82" fillId="0" fontId="18" numFmtId="165" xfId="0" applyAlignment="1" applyBorder="1" applyFont="1" applyNumberFormat="1">
      <alignment horizontal="center" vertical="center"/>
    </xf>
    <xf borderId="83" fillId="0" fontId="17" numFmtId="1" xfId="0" applyAlignment="1" applyBorder="1" applyFont="1" applyNumberFormat="1">
      <alignment horizontal="center" textRotation="90" vertical="center"/>
    </xf>
    <xf borderId="16" fillId="0" fontId="18" numFmtId="164" xfId="0" applyAlignment="1" applyBorder="1" applyFont="1" applyNumberFormat="1">
      <alignment horizontal="center" vertical="center"/>
    </xf>
    <xf borderId="15" fillId="0" fontId="17" numFmtId="164" xfId="0" applyAlignment="1" applyBorder="1" applyFont="1" applyNumberFormat="1">
      <alignment horizontal="center" textRotation="90" vertical="center"/>
    </xf>
    <xf borderId="82" fillId="0" fontId="18" numFmtId="164" xfId="0" applyAlignment="1" applyBorder="1" applyFont="1" applyNumberFormat="1">
      <alignment horizontal="center" vertical="center"/>
    </xf>
    <xf borderId="34" fillId="0" fontId="17" numFmtId="1" xfId="0" applyAlignment="1" applyBorder="1" applyFont="1" applyNumberFormat="1">
      <alignment horizontal="center" textRotation="90" vertical="center"/>
    </xf>
    <xf borderId="16" fillId="0" fontId="18" numFmtId="165" xfId="0" applyAlignment="1" applyBorder="1" applyFont="1" applyNumberFormat="1">
      <alignment horizontal="left" vertical="center"/>
    </xf>
    <xf borderId="16" fillId="0" fontId="18" numFmtId="165" xfId="0" applyAlignment="1" applyBorder="1" applyFont="1" applyNumberFormat="1">
      <alignment horizontal="center" vertical="center"/>
    </xf>
    <xf borderId="22" fillId="0" fontId="18" numFmtId="165" xfId="0" applyAlignment="1" applyBorder="1" applyFont="1" applyNumberFormat="1">
      <alignment horizontal="center" vertical="center"/>
    </xf>
    <xf borderId="0" fillId="0" fontId="17" numFmtId="1" xfId="0" applyAlignment="1" applyFont="1" applyNumberFormat="1">
      <alignment horizontal="center" textRotation="90" vertical="center"/>
    </xf>
    <xf borderId="0" fillId="0" fontId="18" numFmtId="165" xfId="0" applyAlignment="1" applyFont="1" applyNumberFormat="1">
      <alignment horizontal="center" vertical="center"/>
    </xf>
    <xf borderId="12" fillId="0" fontId="17" numFmtId="1" xfId="0" applyAlignment="1" applyBorder="1" applyFont="1" applyNumberFormat="1">
      <alignment horizontal="center" textRotation="90" vertical="center"/>
    </xf>
    <xf borderId="84" fillId="0" fontId="4" numFmtId="0" xfId="0" applyBorder="1" applyFont="1"/>
    <xf borderId="48" fillId="0" fontId="16" numFmtId="0" xfId="0" applyAlignment="1" applyBorder="1" applyFont="1">
      <alignment horizontal="center" vertical="center"/>
    </xf>
    <xf borderId="85" fillId="9" fontId="14" numFmtId="0" xfId="0" applyAlignment="1" applyBorder="1" applyFont="1">
      <alignment horizontal="right" vertical="center"/>
    </xf>
    <xf borderId="85" fillId="11" fontId="14" numFmtId="0" xfId="0" applyAlignment="1" applyBorder="1" applyFont="1">
      <alignment horizontal="right" vertical="center"/>
    </xf>
    <xf borderId="85" fillId="9" fontId="19" numFmtId="0" xfId="0" applyAlignment="1" applyBorder="1" applyFont="1">
      <alignment horizontal="right" vertical="center"/>
    </xf>
    <xf borderId="49" fillId="0" fontId="14" numFmtId="0" xfId="0" applyAlignment="1" applyBorder="1" applyFont="1">
      <alignment horizontal="right" vertical="center"/>
    </xf>
    <xf borderId="47" fillId="0" fontId="16" numFmtId="0" xfId="0" applyAlignment="1" applyBorder="1" applyFont="1">
      <alignment horizontal="center" vertical="center"/>
    </xf>
    <xf borderId="82" fillId="0" fontId="4" numFmtId="0" xfId="0" applyBorder="1" applyFont="1"/>
    <xf borderId="86" fillId="0" fontId="16" numFmtId="0" xfId="0" applyAlignment="1" applyBorder="1" applyFont="1">
      <alignment horizontal="center" vertical="center"/>
    </xf>
    <xf borderId="47" fillId="0" fontId="16" numFmtId="164" xfId="0" applyAlignment="1" applyBorder="1" applyFont="1" applyNumberFormat="1">
      <alignment horizontal="center" vertical="center"/>
    </xf>
    <xf borderId="29" fillId="0" fontId="16" numFmtId="0" xfId="0" applyAlignment="1" applyBorder="1" applyFont="1">
      <alignment horizontal="center" vertical="center"/>
    </xf>
    <xf borderId="28" fillId="0" fontId="16" numFmtId="0" xfId="0" applyAlignment="1" applyBorder="1" applyFont="1">
      <alignment horizontal="center" vertical="center"/>
    </xf>
    <xf borderId="87" fillId="10" fontId="2" numFmtId="0" xfId="0" applyAlignment="1" applyBorder="1" applyFont="1">
      <alignment horizontal="center" vertical="center"/>
    </xf>
    <xf borderId="24" fillId="0" fontId="19" numFmtId="0" xfId="0" applyAlignment="1" applyBorder="1" applyFont="1">
      <alignment horizontal="right" vertical="center"/>
    </xf>
    <xf borderId="37" fillId="0" fontId="14" numFmtId="0" xfId="0" applyAlignment="1" applyBorder="1" applyFont="1">
      <alignment horizontal="right" vertical="center"/>
    </xf>
    <xf borderId="25" fillId="0" fontId="15" numFmtId="164" xfId="0" applyAlignment="1" applyBorder="1" applyFont="1" applyNumberFormat="1">
      <alignment horizontal="center" vertical="center"/>
    </xf>
    <xf borderId="0" fillId="0" fontId="18" numFmtId="164" xfId="0" applyAlignment="1" applyFont="1" applyNumberFormat="1">
      <alignment horizontal="left" readingOrder="0" vertical="center"/>
    </xf>
    <xf borderId="79" fillId="11" fontId="13" numFmtId="164" xfId="0" applyAlignment="1" applyBorder="1" applyFont="1" applyNumberFormat="1">
      <alignment horizontal="center" textRotation="90" vertical="center"/>
    </xf>
    <xf borderId="0" fillId="0" fontId="18" numFmtId="164" xfId="0" applyAlignment="1" applyFont="1" applyNumberFormat="1">
      <alignment horizontal="left" vertical="center"/>
    </xf>
    <xf borderId="88" fillId="11" fontId="13" numFmtId="164" xfId="0" applyAlignment="1" applyBorder="1" applyFont="1" applyNumberFormat="1">
      <alignment horizontal="center" textRotation="90" vertical="center"/>
    </xf>
    <xf borderId="82" fillId="0" fontId="18" numFmtId="164" xfId="0" applyAlignment="1" applyBorder="1" applyFont="1" applyNumberFormat="1">
      <alignment horizontal="left" vertical="center"/>
    </xf>
    <xf borderId="89" fillId="0" fontId="4" numFmtId="0" xfId="0" applyBorder="1" applyFont="1"/>
    <xf borderId="90" fillId="0" fontId="4" numFmtId="0" xfId="0" applyBorder="1" applyFont="1"/>
    <xf borderId="44" fillId="0" fontId="2" numFmtId="0" xfId="0" applyAlignment="1" applyBorder="1" applyFont="1">
      <alignment horizontal="left"/>
    </xf>
    <xf borderId="91" fillId="11" fontId="16" numFmtId="0" xfId="0" applyAlignment="1" applyBorder="1" applyFont="1">
      <alignment vertical="center"/>
    </xf>
    <xf borderId="92" fillId="0" fontId="4" numFmtId="0" xfId="0" applyBorder="1" applyFont="1"/>
    <xf borderId="93" fillId="11" fontId="14" numFmtId="0" xfId="0" applyAlignment="1" applyBorder="1" applyFont="1">
      <alignment horizontal="right" vertical="center"/>
    </xf>
    <xf borderId="94" fillId="9" fontId="14" numFmtId="0" xfId="0" applyAlignment="1" applyBorder="1" applyFont="1">
      <alignment horizontal="right" vertical="center"/>
    </xf>
    <xf borderId="95" fillId="9" fontId="14" numFmtId="0" xfId="0" applyAlignment="1" applyBorder="1" applyFont="1">
      <alignment horizontal="right" vertical="center"/>
    </xf>
    <xf borderId="96" fillId="11" fontId="14" numFmtId="0" xfId="0" applyAlignment="1" applyBorder="1" applyFont="1">
      <alignment horizontal="right" vertical="center"/>
    </xf>
    <xf borderId="72" fillId="0" fontId="2" numFmtId="0" xfId="0" applyAlignment="1" applyBorder="1" applyFont="1">
      <alignment horizontal="left"/>
    </xf>
    <xf borderId="75" fillId="0" fontId="19" numFmtId="0" xfId="0" applyAlignment="1" applyBorder="1" applyFont="1">
      <alignment horizontal="right" vertical="center"/>
    </xf>
    <xf borderId="0" fillId="0" fontId="18" numFmtId="164" xfId="0" applyAlignment="1" applyFont="1" applyNumberFormat="1">
      <alignment horizontal="center" vertical="center"/>
    </xf>
    <xf borderId="34" fillId="0" fontId="17" numFmtId="164" xfId="0" applyAlignment="1" applyBorder="1" applyFont="1" applyNumberFormat="1">
      <alignment horizontal="center" textRotation="90" vertical="center"/>
    </xf>
    <xf borderId="22" fillId="0" fontId="18" numFmtId="164" xfId="0" applyAlignment="1" applyBorder="1" applyFont="1" applyNumberFormat="1">
      <alignment horizontal="center" vertical="center"/>
    </xf>
    <xf borderId="0" fillId="0" fontId="17" numFmtId="164" xfId="0" applyAlignment="1" applyFont="1" applyNumberFormat="1">
      <alignment horizontal="center" textRotation="90" vertical="center"/>
    </xf>
    <xf borderId="48" fillId="0" fontId="16" numFmtId="164" xfId="0" applyAlignment="1" applyBorder="1" applyFont="1" applyNumberFormat="1">
      <alignment horizontal="center" vertical="center"/>
    </xf>
    <xf borderId="29" fillId="0" fontId="16" numFmtId="164" xfId="0" applyAlignment="1" applyBorder="1" applyFont="1" applyNumberFormat="1">
      <alignment horizontal="center" vertical="center"/>
    </xf>
    <xf borderId="23" fillId="0" fontId="15" numFmtId="164" xfId="0" applyAlignment="1" applyBorder="1" applyFont="1" applyNumberFormat="1">
      <alignment horizontal="center" vertical="center"/>
    </xf>
    <xf borderId="56" fillId="0" fontId="15" numFmtId="164" xfId="0" applyAlignment="1" applyBorder="1" applyFont="1" applyNumberFormat="1">
      <alignment horizontal="center" vertical="center"/>
    </xf>
    <xf borderId="24" fillId="0" fontId="20" numFmtId="0" xfId="0" applyAlignment="1" applyBorder="1" applyFont="1">
      <alignment horizontal="center"/>
    </xf>
    <xf borderId="97" fillId="0" fontId="4" numFmtId="0" xfId="0" applyBorder="1" applyFont="1"/>
    <xf borderId="98" fillId="0" fontId="4" numFmtId="0" xfId="0" applyBorder="1" applyFont="1"/>
    <xf borderId="98" fillId="0" fontId="2" numFmtId="0" xfId="0" applyAlignment="1" applyBorder="1" applyFont="1">
      <alignment horizontal="left"/>
    </xf>
    <xf borderId="99" fillId="11" fontId="16" numFmtId="0" xfId="0" applyAlignment="1" applyBorder="1" applyFont="1">
      <alignment vertical="center"/>
    </xf>
    <xf borderId="100" fillId="0" fontId="4" numFmtId="0" xfId="0" applyBorder="1" applyFont="1"/>
    <xf borderId="101" fillId="0" fontId="4" numFmtId="0" xfId="0" applyBorder="1" applyFont="1"/>
    <xf borderId="102" fillId="0" fontId="16" numFmtId="0" xfId="0" applyAlignment="1" applyBorder="1" applyFont="1">
      <alignment horizontal="center" vertical="center"/>
    </xf>
    <xf borderId="103" fillId="11" fontId="14" numFmtId="0" xfId="0" applyAlignment="1" applyBorder="1" applyFont="1">
      <alignment horizontal="right" vertical="center"/>
    </xf>
    <xf borderId="104" fillId="0" fontId="16" numFmtId="0" xfId="0" applyAlignment="1" applyBorder="1" applyFont="1">
      <alignment horizontal="center" vertical="center"/>
    </xf>
    <xf borderId="105" fillId="11" fontId="14" numFmtId="0" xfId="0" applyAlignment="1" applyBorder="1" applyFont="1">
      <alignment horizontal="right" vertical="center"/>
    </xf>
    <xf borderId="106" fillId="0" fontId="16" numFmtId="0" xfId="0" applyAlignment="1" applyBorder="1" applyFont="1">
      <alignment horizontal="center" vertical="center"/>
    </xf>
    <xf borderId="107" fillId="12" fontId="2" numFmtId="0" xfId="0" applyAlignment="1" applyBorder="1" applyFill="1" applyFont="1">
      <alignment horizontal="center" vertical="center"/>
    </xf>
    <xf borderId="108" fillId="12" fontId="11" numFmtId="0" xfId="0" applyAlignment="1" applyBorder="1" applyFont="1">
      <alignment horizontal="center" shrinkToFit="0" vertical="center" wrapText="1"/>
    </xf>
    <xf borderId="108" fillId="12" fontId="2" numFmtId="0" xfId="0" applyAlignment="1" applyBorder="1" applyFont="1">
      <alignment horizontal="left"/>
    </xf>
    <xf borderId="108" fillId="12" fontId="2" numFmtId="0" xfId="0" applyAlignment="1" applyBorder="1" applyFont="1">
      <alignment horizontal="center" vertical="center"/>
    </xf>
    <xf borderId="79" fillId="12" fontId="16" numFmtId="0" xfId="0" applyAlignment="1" applyBorder="1" applyFont="1">
      <alignment vertical="center"/>
    </xf>
    <xf borderId="109" fillId="12" fontId="20" numFmtId="0" xfId="0" applyAlignment="1" applyBorder="1" applyFont="1">
      <alignment horizontal="center"/>
    </xf>
    <xf borderId="108" fillId="12" fontId="20" numFmtId="0" xfId="0" applyAlignment="1" applyBorder="1" applyFont="1">
      <alignment horizontal="center"/>
    </xf>
    <xf borderId="79" fillId="12" fontId="2" numFmtId="0" xfId="0" applyAlignment="1" applyBorder="1" applyFont="1">
      <alignment horizontal="center" vertical="center"/>
    </xf>
    <xf borderId="1" fillId="12" fontId="16" numFmtId="0" xfId="0" applyAlignment="1" applyBorder="1" applyFont="1">
      <alignment horizontal="center" vertical="center"/>
    </xf>
    <xf borderId="109" fillId="12" fontId="14" numFmtId="0" xfId="0" applyAlignment="1" applyBorder="1" applyFont="1">
      <alignment horizontal="right" vertical="center"/>
    </xf>
    <xf borderId="79" fillId="12" fontId="16" numFmtId="0" xfId="0" applyAlignment="1" applyBorder="1" applyFont="1">
      <alignment horizontal="center" vertical="center"/>
    </xf>
    <xf borderId="109" fillId="12" fontId="19" numFmtId="0" xfId="0" applyAlignment="1" applyBorder="1" applyFont="1">
      <alignment horizontal="right" vertical="center"/>
    </xf>
    <xf borderId="1" fillId="12" fontId="14" numFmtId="0" xfId="0" applyAlignment="1" applyBorder="1" applyFont="1">
      <alignment horizontal="right" vertical="center"/>
    </xf>
    <xf borderId="110" fillId="12" fontId="14" numFmtId="0" xfId="0" applyAlignment="1" applyBorder="1" applyFont="1">
      <alignment horizontal="right" vertical="center"/>
    </xf>
    <xf borderId="111" fillId="12" fontId="16" numFmtId="0" xfId="0" applyAlignment="1" applyBorder="1" applyFont="1">
      <alignment horizontal="center" vertical="center"/>
    </xf>
    <xf borderId="112" fillId="12" fontId="14" numFmtId="0" xfId="0" applyAlignment="1" applyBorder="1" applyFont="1">
      <alignment horizontal="right" vertical="center"/>
    </xf>
    <xf borderId="88" fillId="12" fontId="14" numFmtId="0" xfId="0" applyAlignment="1" applyBorder="1" applyFont="1">
      <alignment horizontal="right" vertical="center"/>
    </xf>
    <xf borderId="88" fillId="12" fontId="2" numFmtId="0" xfId="0" applyBorder="1" applyFont="1"/>
    <xf borderId="13" fillId="0" fontId="2" numFmtId="0" xfId="0" applyAlignment="1" applyBorder="1" applyFont="1">
      <alignment horizontal="center" vertical="center"/>
    </xf>
    <xf borderId="14" fillId="0" fontId="11" numFmtId="0" xfId="0" applyAlignment="1" applyBorder="1" applyFont="1">
      <alignment horizontal="center" shrinkToFit="0" vertical="center" wrapText="1"/>
    </xf>
    <xf borderId="14" fillId="0" fontId="2" numFmtId="0" xfId="0" applyBorder="1" applyFont="1"/>
    <xf borderId="14" fillId="0" fontId="2" numFmtId="0" xfId="0" applyAlignment="1" applyBorder="1" applyFont="1">
      <alignment horizontal="center" vertical="center"/>
    </xf>
    <xf borderId="79" fillId="9" fontId="12" numFmtId="0" xfId="0" applyAlignment="1" applyBorder="1" applyFont="1">
      <alignment vertical="center"/>
    </xf>
    <xf borderId="16" fillId="0" fontId="20" numFmtId="0" xfId="0" applyAlignment="1" applyBorder="1" applyFont="1">
      <alignment horizontal="center"/>
    </xf>
    <xf borderId="72" fillId="0" fontId="18" numFmtId="0" xfId="0" applyAlignment="1" applyBorder="1" applyFont="1">
      <alignment horizontal="center" vertical="center"/>
    </xf>
    <xf borderId="113" fillId="10" fontId="2" numFmtId="0" xfId="0" applyAlignment="1" applyBorder="1" applyFont="1">
      <alignment horizontal="center" vertical="center"/>
    </xf>
    <xf borderId="79" fillId="9" fontId="12" numFmtId="0" xfId="0" applyAlignment="1" applyBorder="1" applyFont="1">
      <alignment horizontal="center" vertical="center"/>
    </xf>
    <xf borderId="16" fillId="0" fontId="14" numFmtId="0" xfId="0" applyAlignment="1" applyBorder="1" applyFont="1">
      <alignment horizontal="right" vertical="center"/>
    </xf>
    <xf borderId="16" fillId="0" fontId="19" numFmtId="0" xfId="0" applyAlignment="1" applyBorder="1" applyFont="1">
      <alignment horizontal="right" vertical="center"/>
    </xf>
    <xf borderId="0" fillId="0" fontId="14" numFmtId="0" xfId="0" applyAlignment="1" applyFont="1">
      <alignment horizontal="right" vertical="center"/>
    </xf>
    <xf borderId="22" fillId="0" fontId="14" numFmtId="0" xfId="0" applyAlignment="1" applyBorder="1" applyFont="1">
      <alignment horizontal="right" vertical="center"/>
    </xf>
    <xf borderId="0" fillId="0" fontId="15" numFmtId="0" xfId="0" applyAlignment="1" applyFont="1">
      <alignment horizontal="center" vertical="center"/>
    </xf>
    <xf borderId="83" fillId="0" fontId="15" numFmtId="0" xfId="0" applyAlignment="1" applyBorder="1" applyFont="1">
      <alignment horizontal="center" vertical="center"/>
    </xf>
    <xf borderId="15" fillId="0" fontId="15" numFmtId="0" xfId="0" applyAlignment="1" applyBorder="1" applyFont="1">
      <alignment horizontal="center" vertical="center"/>
    </xf>
    <xf borderId="12" fillId="0" fontId="15" numFmtId="0" xfId="0" applyAlignment="1" applyBorder="1" applyFont="1">
      <alignment horizontal="center" vertical="center"/>
    </xf>
    <xf borderId="81" fillId="11" fontId="17" numFmtId="164" xfId="0" applyAlignment="1" applyBorder="1" applyFont="1" applyNumberFormat="1">
      <alignment horizontal="center" textRotation="90" vertical="center"/>
    </xf>
    <xf borderId="22" fillId="0" fontId="3" numFmtId="164" xfId="0" applyAlignment="1" applyBorder="1" applyFont="1" applyNumberFormat="1">
      <alignment horizontal="left" vertical="center"/>
    </xf>
    <xf borderId="109" fillId="9" fontId="14" numFmtId="0" xfId="0" applyAlignment="1" applyBorder="1" applyFont="1">
      <alignment horizontal="right" vertical="center"/>
    </xf>
    <xf borderId="109" fillId="9" fontId="19" numFmtId="0" xfId="0" applyAlignment="1" applyBorder="1" applyFont="1">
      <alignment horizontal="right" vertical="center"/>
    </xf>
    <xf borderId="114" fillId="11" fontId="14" numFmtId="0" xfId="0" applyAlignment="1" applyBorder="1" applyFont="1">
      <alignment horizontal="right" vertical="center"/>
    </xf>
    <xf borderId="115" fillId="9" fontId="14" numFmtId="0" xfId="0" applyAlignment="1" applyBorder="1" applyFont="1">
      <alignment horizontal="right" vertical="center"/>
    </xf>
    <xf borderId="116" fillId="9" fontId="14" numFmtId="0" xfId="0" applyAlignment="1" applyBorder="1" applyFont="1">
      <alignment horizontal="right" vertical="center"/>
    </xf>
    <xf borderId="24" fillId="0" fontId="15" numFmtId="0" xfId="0" applyAlignment="1" applyBorder="1" applyFont="1">
      <alignment horizontal="center" vertical="center"/>
    </xf>
    <xf borderId="1" fillId="11" fontId="13" numFmtId="164" xfId="0" applyAlignment="1" applyBorder="1" applyFont="1" applyNumberFormat="1">
      <alignment horizontal="center" textRotation="90" vertical="center"/>
    </xf>
    <xf borderId="15" fillId="0" fontId="18" numFmtId="164" xfId="0" applyAlignment="1" applyBorder="1" applyFont="1" applyNumberFormat="1">
      <alignment horizontal="left" vertical="center"/>
    </xf>
    <xf borderId="109" fillId="11" fontId="13" numFmtId="164" xfId="0" applyAlignment="1" applyBorder="1" applyFont="1" applyNumberFormat="1">
      <alignment horizontal="center" textRotation="90" vertical="center"/>
    </xf>
    <xf borderId="117" fillId="0" fontId="18" numFmtId="164" xfId="0" applyAlignment="1" applyBorder="1" applyFont="1" applyNumberFormat="1">
      <alignment horizontal="left" vertical="center"/>
    </xf>
    <xf borderId="16" fillId="0" fontId="17" numFmtId="1" xfId="0" applyAlignment="1" applyBorder="1" applyFont="1" applyNumberFormat="1">
      <alignment horizontal="center" textRotation="90" vertical="center"/>
    </xf>
    <xf borderId="118" fillId="9" fontId="14" numFmtId="0" xfId="0" applyAlignment="1" applyBorder="1" applyFont="1">
      <alignment horizontal="right" vertical="center"/>
    </xf>
    <xf borderId="72" fillId="0" fontId="18" numFmtId="0" xfId="0" applyAlignment="1" applyBorder="1" applyFont="1">
      <alignment horizontal="center" readingOrder="0" vertical="center"/>
    </xf>
    <xf borderId="119" fillId="0" fontId="14" numFmtId="0" xfId="0" applyAlignment="1" applyBorder="1" applyFont="1">
      <alignment horizontal="right" vertical="center"/>
    </xf>
    <xf borderId="120" fillId="11" fontId="18" numFmtId="165" xfId="0" applyAlignment="1" applyBorder="1" applyFont="1" applyNumberFormat="1">
      <alignment horizontal="center" vertical="center"/>
    </xf>
    <xf borderId="16" fillId="0" fontId="18" numFmtId="164" xfId="0" applyAlignment="1" applyBorder="1" applyFont="1" applyNumberFormat="1">
      <alignment horizontal="center" readingOrder="0" vertical="center"/>
    </xf>
    <xf borderId="121" fillId="0" fontId="4" numFmtId="0" xfId="0" applyBorder="1" applyFont="1"/>
    <xf borderId="122" fillId="0" fontId="4" numFmtId="0" xfId="0" applyBorder="1" applyFont="1"/>
    <xf borderId="112" fillId="9" fontId="14" numFmtId="0" xfId="0" applyAlignment="1" applyBorder="1" applyFont="1">
      <alignment horizontal="right" vertical="center"/>
    </xf>
    <xf borderId="109" fillId="11" fontId="14" numFmtId="0" xfId="0" applyAlignment="1" applyBorder="1" applyFont="1">
      <alignment horizontal="right" vertical="center"/>
    </xf>
    <xf borderId="83" fillId="0" fontId="16" numFmtId="0" xfId="0" applyAlignment="1" applyBorder="1" applyFont="1">
      <alignment horizontal="center" vertical="center"/>
    </xf>
    <xf borderId="15" fillId="0" fontId="16" numFmtId="0" xfId="0" applyAlignment="1" applyBorder="1" applyFont="1">
      <alignment horizontal="center" vertical="center"/>
    </xf>
    <xf borderId="74" fillId="10" fontId="2" numFmtId="0" xfId="0" applyAlignment="1" applyBorder="1" applyFont="1">
      <alignment horizontal="center" readingOrder="0" vertical="center"/>
    </xf>
    <xf borderId="123" fillId="9" fontId="12" numFmtId="0" xfId="0" applyAlignment="1" applyBorder="1" applyFont="1">
      <alignment horizontal="center" vertical="center"/>
    </xf>
    <xf borderId="11" fillId="0" fontId="14" numFmtId="0" xfId="0" applyAlignment="1" applyBorder="1" applyFont="1">
      <alignment horizontal="right" vertical="center"/>
    </xf>
    <xf borderId="10" fillId="0" fontId="15" numFmtId="0" xfId="0" applyAlignment="1" applyBorder="1" applyFont="1">
      <alignment horizontal="center" vertical="center"/>
    </xf>
    <xf borderId="5" fillId="0" fontId="14" numFmtId="0" xfId="0" applyAlignment="1" applyBorder="1" applyFont="1">
      <alignment horizontal="right" vertical="center"/>
    </xf>
    <xf borderId="124" fillId="0" fontId="15" numFmtId="0" xfId="0" applyAlignment="1" applyBorder="1" applyFont="1">
      <alignment horizontal="center" vertical="center"/>
    </xf>
    <xf borderId="4" fillId="0" fontId="15" numFmtId="0" xfId="0" applyAlignment="1" applyBorder="1" applyFont="1">
      <alignment horizontal="center" vertical="center"/>
    </xf>
    <xf borderId="43" fillId="0" fontId="14" numFmtId="0" xfId="0" applyAlignment="1" applyBorder="1" applyFont="1">
      <alignment horizontal="right" vertical="center"/>
    </xf>
    <xf borderId="87" fillId="10" fontId="2" numFmtId="0" xfId="0" applyAlignment="1" applyBorder="1" applyFont="1">
      <alignment horizontal="center" readingOrder="0" vertical="center"/>
    </xf>
    <xf borderId="125" fillId="9" fontId="12" numFmtId="0" xfId="0" applyAlignment="1" applyBorder="1" applyFont="1">
      <alignment horizontal="center" vertical="center"/>
    </xf>
    <xf borderId="14" fillId="0" fontId="18" numFmtId="164" xfId="0" applyAlignment="1" applyBorder="1" applyFont="1" applyNumberFormat="1">
      <alignment horizontal="left" vertical="center"/>
    </xf>
    <xf borderId="32" fillId="0" fontId="17" numFmtId="164" xfId="0" applyAlignment="1" applyBorder="1" applyFont="1" applyNumberFormat="1">
      <alignment horizontal="center" textRotation="90" vertical="center"/>
    </xf>
    <xf borderId="53" fillId="0" fontId="17" numFmtId="164" xfId="0" applyAlignment="1" applyBorder="1" applyFont="1" applyNumberFormat="1">
      <alignment horizontal="center" textRotation="90" vertical="center"/>
    </xf>
    <xf borderId="31" fillId="0" fontId="17" numFmtId="1" xfId="0" applyAlignment="1" applyBorder="1" applyFont="1" applyNumberFormat="1">
      <alignment horizontal="center" textRotation="90" vertical="center"/>
    </xf>
    <xf borderId="71" fillId="0" fontId="2" numFmtId="0" xfId="0" applyAlignment="1" applyBorder="1" applyFont="1">
      <alignment horizontal="center" readingOrder="0" vertical="center"/>
    </xf>
    <xf borderId="72" fillId="0" fontId="11" numFmtId="0" xfId="0" applyAlignment="1" applyBorder="1" applyFont="1">
      <alignment horizontal="center" readingOrder="0" shrinkToFit="0" vertical="center" wrapText="1"/>
    </xf>
    <xf borderId="9" fillId="0" fontId="17" numFmtId="1" xfId="0" applyAlignment="1" applyBorder="1" applyFont="1" applyNumberFormat="1">
      <alignment horizontal="center" textRotation="90" vertical="center"/>
    </xf>
    <xf borderId="126" fillId="0" fontId="18" numFmtId="165" xfId="0" applyAlignment="1" applyBorder="1" applyFont="1" applyNumberFormat="1">
      <alignment horizontal="center" vertical="center"/>
    </xf>
    <xf borderId="124" fillId="0" fontId="17" numFmtId="1" xfId="0" applyAlignment="1" applyBorder="1" applyFont="1" applyNumberFormat="1">
      <alignment horizontal="center" textRotation="90" vertical="center"/>
    </xf>
    <xf borderId="22" fillId="0" fontId="18" numFmtId="164" xfId="0" applyAlignment="1" applyBorder="1" applyFont="1" applyNumberFormat="1">
      <alignment horizontal="center" readingOrder="0" vertical="center"/>
    </xf>
    <xf borderId="14" fillId="0" fontId="2" numFmtId="0" xfId="0" applyAlignment="1" applyBorder="1" applyFont="1">
      <alignment horizontal="left" readingOrder="0" vertical="center"/>
    </xf>
    <xf borderId="24" fillId="0" fontId="2" numFmtId="0" xfId="0" applyAlignment="1" applyBorder="1" applyFont="1">
      <alignment horizontal="center" vertical="center"/>
    </xf>
    <xf borderId="127" fillId="0" fontId="17" numFmtId="1" xfId="0" applyAlignment="1" applyBorder="1" applyFont="1" applyNumberFormat="1">
      <alignment horizontal="center" textRotation="90" vertical="center"/>
    </xf>
    <xf borderId="128" fillId="9" fontId="14" numFmtId="0" xfId="0" applyAlignment="1" applyBorder="1" applyFont="1">
      <alignment horizontal="right" vertical="center"/>
    </xf>
    <xf borderId="128" fillId="11" fontId="14" numFmtId="0" xfId="0" applyAlignment="1" applyBorder="1" applyFont="1">
      <alignment horizontal="right" vertical="center"/>
    </xf>
    <xf borderId="129" fillId="9" fontId="14" numFmtId="0" xfId="0" applyAlignment="1" applyBorder="1" applyFont="1">
      <alignment horizontal="right" vertical="center"/>
    </xf>
    <xf borderId="0" fillId="0" fontId="18" numFmtId="165" xfId="0" applyAlignment="1" applyFont="1" applyNumberFormat="1">
      <alignment horizontal="left" vertical="center"/>
    </xf>
    <xf borderId="81" fillId="11" fontId="13" numFmtId="165" xfId="0" applyAlignment="1" applyBorder="1" applyFont="1" applyNumberFormat="1">
      <alignment horizontal="center" textRotation="90" vertical="center"/>
    </xf>
    <xf borderId="22" fillId="0" fontId="18" numFmtId="165" xfId="0" applyAlignment="1" applyBorder="1" applyFont="1" applyNumberFormat="1">
      <alignment horizontal="left" vertical="center"/>
    </xf>
    <xf borderId="88" fillId="11" fontId="13" numFmtId="165" xfId="0" applyAlignment="1" applyBorder="1" applyFont="1" applyNumberFormat="1">
      <alignment horizontal="center" textRotation="90" vertical="center"/>
    </xf>
    <xf borderId="79" fillId="11" fontId="13" numFmtId="165" xfId="0" applyAlignment="1" applyBorder="1" applyFont="1" applyNumberFormat="1">
      <alignment horizontal="center" textRotation="90" vertical="center"/>
    </xf>
    <xf borderId="130" fillId="0" fontId="4" numFmtId="0" xfId="0" applyBorder="1" applyFont="1"/>
    <xf borderId="131" fillId="0" fontId="4" numFmtId="0" xfId="0" applyBorder="1" applyFont="1"/>
    <xf borderId="131" fillId="0" fontId="2" numFmtId="0" xfId="0" applyAlignment="1" applyBorder="1" applyFont="1">
      <alignment horizontal="left"/>
    </xf>
    <xf borderId="132" fillId="11" fontId="16" numFmtId="0" xfId="0" applyAlignment="1" applyBorder="1" applyFont="1">
      <alignment vertical="center"/>
    </xf>
    <xf borderId="133" fillId="0" fontId="4" numFmtId="0" xfId="0" applyBorder="1" applyFont="1"/>
    <xf borderId="134" fillId="0" fontId="16" numFmtId="0" xfId="0" applyAlignment="1" applyBorder="1" applyFont="1">
      <alignment horizontal="center" vertical="center"/>
    </xf>
    <xf borderId="128" fillId="9" fontId="19" numFmtId="0" xfId="0" applyAlignment="1" applyBorder="1" applyFont="1">
      <alignment horizontal="right" vertical="center"/>
    </xf>
    <xf borderId="52" fillId="0" fontId="14" numFmtId="0" xfId="0" applyAlignment="1" applyBorder="1" applyFont="1">
      <alignment horizontal="right" vertical="center"/>
    </xf>
    <xf borderId="135" fillId="9" fontId="14" numFmtId="0" xfId="0" applyAlignment="1" applyBorder="1" applyFont="1">
      <alignment horizontal="right" vertical="center"/>
    </xf>
    <xf borderId="130" fillId="0" fontId="14" numFmtId="0" xfId="0" applyAlignment="1" applyBorder="1" applyFont="1">
      <alignment horizontal="right" vertical="center"/>
    </xf>
    <xf borderId="53" fillId="0" fontId="16" numFmtId="0" xfId="0" applyAlignment="1" applyBorder="1" applyFont="1">
      <alignment horizontal="center" vertical="center"/>
    </xf>
    <xf borderId="32" fillId="0" fontId="16" numFmtId="0" xfId="0" applyAlignment="1" applyBorder="1" applyFont="1">
      <alignment horizontal="center" vertical="center"/>
    </xf>
    <xf borderId="136" fillId="11" fontId="14" numFmtId="0" xfId="0" applyAlignment="1" applyBorder="1" applyFont="1">
      <alignment horizontal="right" vertical="center"/>
    </xf>
    <xf borderId="137" fillId="0" fontId="2" numFmtId="0" xfId="0" applyAlignment="1" applyBorder="1" applyFont="1">
      <alignment horizontal="center" vertical="center"/>
    </xf>
    <xf borderId="14" fillId="0" fontId="21" numFmtId="0" xfId="0" applyAlignment="1" applyBorder="1" applyFont="1">
      <alignment horizontal="center" shrinkToFit="0" vertical="center" wrapText="1"/>
    </xf>
    <xf borderId="14" fillId="0" fontId="3" numFmtId="0" xfId="0" applyAlignment="1" applyBorder="1" applyFont="1">
      <alignment vertical="center"/>
    </xf>
    <xf borderId="79" fillId="11" fontId="15" numFmtId="0" xfId="0" applyAlignment="1" applyBorder="1" applyFont="1">
      <alignment horizontal="center" vertical="center"/>
    </xf>
    <xf borderId="0" fillId="0" fontId="20" numFmtId="0" xfId="0" applyAlignment="1" applyFont="1">
      <alignment horizontal="center"/>
    </xf>
    <xf borderId="79" fillId="13" fontId="12" numFmtId="0" xfId="0" applyAlignment="1" applyBorder="1" applyFill="1" applyFont="1">
      <alignment horizontal="center" vertical="center"/>
    </xf>
    <xf borderId="88" fillId="11" fontId="15" numFmtId="0" xfId="0" applyAlignment="1" applyBorder="1" applyFont="1">
      <alignment horizontal="center" vertical="center"/>
    </xf>
    <xf borderId="137" fillId="0" fontId="4" numFmtId="0" xfId="0" applyBorder="1" applyFont="1"/>
    <xf borderId="108" fillId="11" fontId="3" numFmtId="0" xfId="0" applyAlignment="1" applyBorder="1" applyFont="1">
      <alignment vertical="center"/>
    </xf>
    <xf borderId="15" fillId="0" fontId="20" numFmtId="0" xfId="0" applyAlignment="1" applyBorder="1" applyFont="1">
      <alignment horizontal="center" vertical="center"/>
    </xf>
    <xf borderId="16" fillId="0" fontId="3" numFmtId="166" xfId="0" applyAlignment="1" applyBorder="1" applyFont="1" applyNumberFormat="1">
      <alignment horizontal="left" vertical="center"/>
    </xf>
    <xf borderId="79" fillId="11" fontId="17" numFmtId="1" xfId="0" applyAlignment="1" applyBorder="1" applyFont="1" applyNumberFormat="1">
      <alignment horizontal="center" textRotation="90" vertical="center"/>
    </xf>
    <xf borderId="0" fillId="0" fontId="3" numFmtId="166" xfId="0" applyAlignment="1" applyFont="1" applyNumberFormat="1">
      <alignment horizontal="left" vertical="center"/>
    </xf>
    <xf borderId="88" fillId="11" fontId="17" numFmtId="1" xfId="0" applyAlignment="1" applyBorder="1" applyFont="1" applyNumberFormat="1">
      <alignment horizontal="center" textRotation="90" vertical="center"/>
    </xf>
    <xf borderId="22" fillId="0" fontId="3" numFmtId="166" xfId="0" applyAlignment="1" applyBorder="1" applyFont="1" applyNumberFormat="1">
      <alignment horizontal="left" vertical="center"/>
    </xf>
    <xf borderId="138" fillId="0" fontId="4" numFmtId="0" xfId="0" applyBorder="1" applyFont="1"/>
    <xf borderId="44" fillId="0" fontId="3" numFmtId="0" xfId="0" applyAlignment="1" applyBorder="1" applyFont="1">
      <alignment vertical="center"/>
    </xf>
    <xf borderId="47" fillId="0" fontId="20" numFmtId="0" xfId="0" applyAlignment="1" applyBorder="1" applyFont="1">
      <alignment horizontal="center" vertical="center"/>
    </xf>
    <xf borderId="29" fillId="0" fontId="20" numFmtId="0" xfId="0" applyAlignment="1" applyBorder="1" applyFont="1">
      <alignment horizontal="center"/>
    </xf>
    <xf borderId="29" fillId="0" fontId="14" numFmtId="0" xfId="0" applyAlignment="1" applyBorder="1" applyFont="1">
      <alignment horizontal="right" vertical="center"/>
    </xf>
    <xf borderId="30" fillId="0" fontId="14" numFmtId="0" xfId="0" applyAlignment="1" applyBorder="1" applyFont="1">
      <alignment horizontal="right" vertical="center"/>
    </xf>
    <xf borderId="139" fillId="0" fontId="2" numFmtId="0" xfId="0" applyAlignment="1" applyBorder="1" applyFont="1">
      <alignment horizontal="center" vertical="center"/>
    </xf>
    <xf borderId="68" fillId="0" fontId="21" numFmtId="0" xfId="0" applyAlignment="1" applyBorder="1" applyFont="1">
      <alignment horizontal="center" shrinkToFit="0" vertical="center" wrapText="1"/>
    </xf>
    <xf borderId="68" fillId="0" fontId="3" numFmtId="0" xfId="0" applyAlignment="1" applyBorder="1" applyFont="1">
      <alignment vertical="center"/>
    </xf>
    <xf borderId="68" fillId="0" fontId="2" numFmtId="0" xfId="0" applyAlignment="1" applyBorder="1" applyFont="1">
      <alignment horizontal="center" vertical="center"/>
    </xf>
    <xf borderId="140" fillId="11" fontId="15" numFmtId="0" xfId="0" applyAlignment="1" applyBorder="1" applyFont="1">
      <alignment horizontal="center" vertical="center"/>
    </xf>
    <xf borderId="56" fillId="0" fontId="20" numFmtId="0" xfId="0" applyAlignment="1" applyBorder="1" applyFont="1">
      <alignment horizontal="center"/>
    </xf>
    <xf borderId="141" fillId="11" fontId="15" numFmtId="0" xfId="0" applyAlignment="1" applyBorder="1" applyFont="1">
      <alignment horizontal="center" vertical="center"/>
    </xf>
    <xf borderId="142" fillId="11" fontId="15" numFmtId="0" xfId="0" applyAlignment="1" applyBorder="1" applyFont="1">
      <alignment horizontal="center" vertical="center"/>
    </xf>
    <xf borderId="143" fillId="0" fontId="4" numFmtId="0" xfId="0" applyBorder="1" applyFont="1"/>
    <xf borderId="34" fillId="0" fontId="16" numFmtId="0" xfId="0" applyAlignment="1" applyBorder="1" applyFont="1">
      <alignment horizontal="center" vertical="center"/>
    </xf>
    <xf borderId="12" fillId="0" fontId="16" numFmtId="0" xfId="0" applyAlignment="1" applyBorder="1" applyFont="1">
      <alignment horizontal="center" vertical="center"/>
    </xf>
    <xf borderId="33" fillId="0" fontId="14" numFmtId="0" xfId="0" applyAlignment="1" applyBorder="1" applyFont="1">
      <alignment horizontal="right" vertical="center"/>
    </xf>
    <xf borderId="32" fillId="0" fontId="14" numFmtId="0" xfId="0" applyAlignment="1" applyBorder="1" applyFont="1">
      <alignment horizontal="right" vertical="center"/>
    </xf>
    <xf borderId="31" fillId="0" fontId="16" numFmtId="0" xfId="0" applyAlignment="1" applyBorder="1" applyFont="1">
      <alignment horizontal="center" vertical="center"/>
    </xf>
    <xf borderId="144" fillId="0" fontId="18" numFmtId="0" xfId="0" applyAlignment="1" applyBorder="1" applyFont="1">
      <alignment horizontal="left" vertical="top"/>
    </xf>
    <xf borderId="3" fillId="0" fontId="21" numFmtId="0" xfId="0" applyAlignment="1" applyBorder="1" applyFont="1">
      <alignment horizontal="center" shrinkToFit="0" vertical="center" wrapText="1"/>
    </xf>
    <xf borderId="3" fillId="0" fontId="3" numFmtId="0" xfId="0" applyAlignment="1" applyBorder="1" applyFont="1">
      <alignment vertical="center"/>
    </xf>
    <xf borderId="3" fillId="0" fontId="2" numFmtId="0" xfId="0" applyAlignment="1" applyBorder="1" applyFont="1">
      <alignment horizontal="center" vertical="center"/>
    </xf>
    <xf borderId="145" fillId="11" fontId="15" numFmtId="0" xfId="0" applyAlignment="1" applyBorder="1" applyFont="1">
      <alignment horizontal="center" vertical="center"/>
    </xf>
    <xf borderId="5" fillId="0" fontId="20" numFmtId="0" xfId="0" applyAlignment="1" applyBorder="1" applyFont="1">
      <alignment horizontal="center"/>
    </xf>
    <xf borderId="10" fillId="0" fontId="20" numFmtId="0" xfId="0" applyAlignment="1" applyBorder="1" applyFont="1">
      <alignment horizontal="center"/>
    </xf>
    <xf borderId="146" fillId="10" fontId="2" numFmtId="0" xfId="0" applyAlignment="1" applyBorder="1" applyFont="1">
      <alignment horizontal="center" vertical="center"/>
    </xf>
    <xf borderId="147" fillId="11" fontId="15" numFmtId="0" xfId="0" applyAlignment="1" applyBorder="1" applyFont="1">
      <alignment horizontal="center" vertical="center"/>
    </xf>
    <xf borderId="10" fillId="0" fontId="14" numFmtId="0" xfId="0" applyAlignment="1" applyBorder="1" applyFont="1">
      <alignment horizontal="right" vertical="center"/>
    </xf>
    <xf borderId="123" fillId="11" fontId="15" numFmtId="0" xfId="0" applyAlignment="1" applyBorder="1" applyFont="1">
      <alignment horizontal="center" vertical="center"/>
    </xf>
    <xf borderId="139" fillId="0" fontId="18" numFmtId="0" xfId="0" applyAlignment="1" applyBorder="1" applyFont="1">
      <alignment horizontal="left" vertical="top"/>
    </xf>
    <xf borderId="148" fillId="0" fontId="4" numFmtId="0" xfId="0" applyBorder="1" applyFont="1"/>
    <xf borderId="90" fillId="0" fontId="3" numFmtId="0" xfId="0" applyAlignment="1" applyBorder="1" applyFont="1">
      <alignment vertical="center"/>
    </xf>
    <xf borderId="149" fillId="0" fontId="20" numFmtId="0" xfId="0" applyAlignment="1" applyBorder="1" applyFont="1">
      <alignment horizontal="center" vertical="center"/>
    </xf>
    <xf borderId="150" fillId="0" fontId="4" numFmtId="0" xfId="0" applyBorder="1" applyFont="1"/>
    <xf borderId="151" fillId="0" fontId="20" numFmtId="0" xfId="0" applyAlignment="1" applyBorder="1" applyFont="1">
      <alignment horizontal="center"/>
    </xf>
    <xf borderId="152" fillId="0" fontId="16" numFmtId="0" xfId="0" applyAlignment="1" applyBorder="1" applyFont="1">
      <alignment horizontal="center" vertical="center"/>
    </xf>
    <xf borderId="150" fillId="0" fontId="14" numFmtId="0" xfId="0" applyAlignment="1" applyBorder="1" applyFont="1">
      <alignment horizontal="right" vertical="center"/>
    </xf>
    <xf borderId="149" fillId="0" fontId="16" numFmtId="0" xfId="0" applyAlignment="1" applyBorder="1" applyFont="1">
      <alignment horizontal="center" vertical="center"/>
    </xf>
    <xf borderId="151" fillId="0" fontId="14" numFmtId="0" xfId="0" applyAlignment="1" applyBorder="1" applyFont="1">
      <alignment horizontal="right" vertical="center"/>
    </xf>
    <xf borderId="153" fillId="0" fontId="16" numFmtId="0" xfId="0" applyAlignment="1" applyBorder="1" applyFont="1">
      <alignment horizontal="center" vertical="center"/>
    </xf>
    <xf borderId="154" fillId="0" fontId="14" numFmtId="0" xfId="0" applyAlignment="1" applyBorder="1" applyFont="1">
      <alignment horizontal="right" vertical="center"/>
    </xf>
    <xf borderId="0" fillId="0" fontId="16" numFmtId="0" xfId="0" applyAlignment="1" applyFont="1">
      <alignment horizontal="center" vertical="center"/>
    </xf>
    <xf borderId="137" fillId="0" fontId="2" numFmtId="0" xfId="0" applyAlignment="1" applyBorder="1" applyFont="1">
      <alignment horizontal="center" shrinkToFit="0" textRotation="90" vertical="center" wrapText="1"/>
    </xf>
    <xf borderId="47" fillId="0" fontId="2" numFmtId="0" xfId="0" applyBorder="1" applyFont="1"/>
    <xf borderId="155" fillId="9" fontId="2" numFmtId="0" xfId="0" applyAlignment="1" applyBorder="1" applyFont="1">
      <alignment horizontal="left" vertical="top"/>
    </xf>
    <xf borderId="156" fillId="0" fontId="4" numFmtId="0" xfId="0" applyBorder="1" applyFont="1"/>
    <xf borderId="157" fillId="0" fontId="4" numFmtId="0" xfId="0" applyBorder="1" applyFont="1"/>
    <xf borderId="158" fillId="9" fontId="2" numFmtId="0" xfId="0" applyAlignment="1" applyBorder="1" applyFont="1">
      <alignment horizontal="left" vertical="top"/>
    </xf>
    <xf borderId="159" fillId="0" fontId="4" numFmtId="0" xfId="0" applyBorder="1" applyFont="1"/>
    <xf borderId="9" fillId="11" fontId="2" numFmtId="0" xfId="0" applyAlignment="1" applyBorder="1" applyFont="1">
      <alignment horizontal="center" vertical="top"/>
    </xf>
    <xf borderId="20" fillId="0" fontId="2" numFmtId="0" xfId="0" applyBorder="1" applyFont="1"/>
    <xf borderId="17" fillId="14" fontId="2" numFmtId="0" xfId="0" applyAlignment="1" applyBorder="1" applyFill="1" applyFont="1">
      <alignment horizontal="center" vertical="center"/>
    </xf>
    <xf borderId="160" fillId="14" fontId="2" numFmtId="0" xfId="0" applyAlignment="1" applyBorder="1" applyFont="1">
      <alignment horizontal="center" vertical="center"/>
    </xf>
    <xf borderId="25" fillId="0" fontId="2" numFmtId="0" xfId="0" applyAlignment="1" applyBorder="1" applyFont="1">
      <alignment vertical="center"/>
    </xf>
    <xf borderId="25" fillId="0" fontId="2" numFmtId="0" xfId="0" applyBorder="1" applyFont="1"/>
    <xf borderId="58" fillId="15" fontId="2" numFmtId="0" xfId="0" applyAlignment="1" applyBorder="1" applyFill="1" applyFont="1">
      <alignment vertical="center"/>
    </xf>
    <xf borderId="59" fillId="15" fontId="2" numFmtId="1" xfId="0" applyAlignment="1" applyBorder="1" applyFont="1" applyNumberFormat="1">
      <alignment vertical="center"/>
    </xf>
    <xf borderId="161" fillId="15" fontId="2" numFmtId="1" xfId="0" applyAlignment="1" applyBorder="1" applyFont="1" applyNumberFormat="1">
      <alignment vertical="center"/>
    </xf>
    <xf borderId="60" fillId="15" fontId="2" numFmtId="1" xfId="0" applyAlignment="1" applyBorder="1" applyFont="1" applyNumberFormat="1">
      <alignment vertical="center"/>
    </xf>
    <xf borderId="61" fillId="15" fontId="2" numFmtId="1" xfId="0" applyAlignment="1" applyBorder="1" applyFont="1" applyNumberFormat="1">
      <alignment vertical="center"/>
    </xf>
    <xf borderId="162" fillId="0" fontId="2" numFmtId="0" xfId="0" applyAlignment="1" applyBorder="1" applyFont="1">
      <alignment horizontal="center" vertical="center"/>
    </xf>
    <xf borderId="48" fillId="0" fontId="11" numFmtId="1" xfId="0" applyAlignment="1" applyBorder="1" applyFont="1" applyNumberFormat="1">
      <alignment horizontal="left" textRotation="90" vertical="top"/>
    </xf>
    <xf borderId="163" fillId="0" fontId="11" numFmtId="49" xfId="0" applyAlignment="1" applyBorder="1" applyFont="1" applyNumberFormat="1">
      <alignment horizontal="left" vertical="top"/>
    </xf>
    <xf borderId="164" fillId="0" fontId="11" numFmtId="1" xfId="0" applyAlignment="1" applyBorder="1" applyFont="1" applyNumberFormat="1">
      <alignment horizontal="left" textRotation="90" vertical="top"/>
    </xf>
    <xf borderId="47" fillId="0" fontId="11" numFmtId="1" xfId="0" applyAlignment="1" applyBorder="1" applyFont="1" applyNumberFormat="1">
      <alignment horizontal="left" textRotation="90" vertical="top"/>
    </xf>
    <xf borderId="0" fillId="0" fontId="11" numFmtId="49" xfId="0" applyAlignment="1" applyFont="1" applyNumberFormat="1">
      <alignment horizontal="left" vertical="top"/>
    </xf>
    <xf borderId="12" fillId="0" fontId="11" numFmtId="1" xfId="0" applyAlignment="1" applyBorder="1" applyFont="1" applyNumberFormat="1">
      <alignment horizontal="left" textRotation="90" vertical="top"/>
    </xf>
    <xf borderId="16" fillId="0" fontId="11" numFmtId="49" xfId="0" applyAlignment="1" applyBorder="1" applyFont="1" applyNumberFormat="1">
      <alignment horizontal="left" vertical="top"/>
    </xf>
    <xf borderId="15" fillId="0" fontId="11" numFmtId="1" xfId="0" applyAlignment="1" applyBorder="1" applyFont="1" applyNumberFormat="1">
      <alignment horizontal="left" textRotation="90" vertical="top"/>
    </xf>
    <xf borderId="22" fillId="0" fontId="11" numFmtId="49" xfId="0" applyAlignment="1" applyBorder="1" applyFont="1" applyNumberFormat="1">
      <alignment horizontal="left" vertical="top"/>
    </xf>
    <xf borderId="0" fillId="0" fontId="11" numFmtId="1" xfId="0" applyAlignment="1" applyFont="1" applyNumberFormat="1">
      <alignment horizontal="left" textRotation="90" vertical="top"/>
    </xf>
    <xf borderId="82" fillId="0" fontId="11" numFmtId="49" xfId="0" applyAlignment="1" applyBorder="1" applyFont="1" applyNumberFormat="1">
      <alignment horizontal="left" vertical="top"/>
    </xf>
    <xf borderId="18" fillId="0" fontId="11" numFmtId="1" xfId="0" applyAlignment="1" applyBorder="1" applyFont="1" applyNumberFormat="1">
      <alignment horizontal="left" textRotation="90" vertical="top"/>
    </xf>
    <xf borderId="5" fillId="0" fontId="11" numFmtId="49" xfId="0" applyAlignment="1" applyBorder="1" applyFont="1" applyNumberFormat="1">
      <alignment horizontal="left" vertical="top"/>
    </xf>
    <xf borderId="25" fillId="0" fontId="11" numFmtId="1" xfId="0" applyAlignment="1" applyBorder="1" applyFont="1" applyNumberFormat="1">
      <alignment horizontal="left" textRotation="90" vertical="top"/>
    </xf>
    <xf borderId="10" fillId="0" fontId="11" numFmtId="49" xfId="0" applyAlignment="1" applyBorder="1" applyFont="1" applyNumberFormat="1">
      <alignment horizontal="left" vertical="top"/>
    </xf>
    <xf borderId="160" fillId="0" fontId="11" numFmtId="1" xfId="0" applyAlignment="1" applyBorder="1" applyFont="1" applyNumberFormat="1">
      <alignment horizontal="left" textRotation="90" vertical="top"/>
    </xf>
    <xf borderId="7" fillId="0" fontId="11" numFmtId="49" xfId="0" applyAlignment="1" applyBorder="1" applyFont="1" applyNumberFormat="1">
      <alignment horizontal="left" vertical="top"/>
    </xf>
    <xf borderId="165" fillId="0" fontId="4" numFmtId="0" xfId="0" applyBorder="1" applyFont="1"/>
    <xf borderId="166" fillId="0" fontId="11" numFmtId="1" xfId="0" applyAlignment="1" applyBorder="1" applyFont="1" applyNumberFormat="1">
      <alignment horizontal="left" textRotation="90" vertical="top"/>
    </xf>
    <xf borderId="52" fillId="0" fontId="11" numFmtId="49" xfId="0" applyAlignment="1" applyBorder="1" applyFont="1" applyNumberFormat="1">
      <alignment horizontal="left" vertical="top"/>
    </xf>
    <xf borderId="53" fillId="0" fontId="11" numFmtId="1" xfId="0" applyAlignment="1" applyBorder="1" applyFont="1" applyNumberFormat="1">
      <alignment horizontal="left" textRotation="90" vertical="top"/>
    </xf>
    <xf borderId="167" fillId="0" fontId="11" numFmtId="49" xfId="0" applyAlignment="1" applyBorder="1" applyFont="1" applyNumberFormat="1">
      <alignment horizontal="left" vertical="top"/>
    </xf>
    <xf borderId="167" fillId="0" fontId="11" numFmtId="1" xfId="0" applyAlignment="1" applyBorder="1" applyFont="1" applyNumberFormat="1">
      <alignment horizontal="left" textRotation="90" vertical="top"/>
    </xf>
    <xf borderId="168" fillId="0" fontId="11" numFmtId="49" xfId="0" applyAlignment="1" applyBorder="1" applyFont="1" applyNumberFormat="1">
      <alignment horizontal="left" vertical="top"/>
    </xf>
    <xf borderId="169" fillId="0" fontId="11" numFmtId="1" xfId="0" applyAlignment="1" applyBorder="1" applyFont="1" applyNumberFormat="1">
      <alignment horizontal="left" textRotation="90" vertical="top"/>
    </xf>
    <xf borderId="170" fillId="0" fontId="11" numFmtId="49" xfId="0" applyAlignment="1" applyBorder="1" applyFont="1" applyNumberFormat="1">
      <alignment horizontal="left" vertical="top"/>
    </xf>
    <xf borderId="171" fillId="0" fontId="11" numFmtId="49" xfId="0" applyAlignment="1" applyBorder="1" applyFont="1" applyNumberFormat="1">
      <alignment horizontal="left" vertical="top"/>
    </xf>
    <xf borderId="170" fillId="0" fontId="11" numFmtId="1" xfId="0" applyAlignment="1" applyBorder="1" applyFont="1" applyNumberFormat="1">
      <alignment horizontal="left" textRotation="90" vertical="top"/>
    </xf>
    <xf borderId="172" fillId="0" fontId="11" numFmtId="49" xfId="0" applyAlignment="1" applyBorder="1" applyFont="1" applyNumberFormat="1">
      <alignment horizontal="left" vertical="top"/>
    </xf>
    <xf borderId="173" fillId="0" fontId="11" numFmtId="49" xfId="0" applyAlignment="1" applyBorder="1" applyFont="1" applyNumberFormat="1">
      <alignment horizontal="left" vertical="top"/>
    </xf>
    <xf borderId="18" fillId="0" fontId="11" numFmtId="49" xfId="0" applyAlignment="1" applyBorder="1" applyFont="1" applyNumberFormat="1">
      <alignment horizontal="left" vertical="top"/>
    </xf>
    <xf borderId="0" fillId="0" fontId="2" numFmtId="49" xfId="0" applyAlignment="1" applyFont="1" applyNumberFormat="1">
      <alignment horizontal="center" vertical="center"/>
    </xf>
    <xf borderId="0" fillId="0" fontId="2" numFmtId="49" xfId="0" applyFont="1" applyNumberFormat="1"/>
    <xf borderId="0" fillId="0" fontId="2" numFmtId="49" xfId="0" applyAlignment="1" applyFont="1" applyNumberFormat="1">
      <alignment horizontal="center"/>
    </xf>
    <xf borderId="39" fillId="16" fontId="22" numFmtId="164" xfId="0" applyAlignment="1" applyBorder="1" applyFill="1" applyFont="1" applyNumberFormat="1">
      <alignment horizontal="center"/>
    </xf>
    <xf borderId="174" fillId="0" fontId="4" numFmtId="0" xfId="0" applyBorder="1" applyFont="1"/>
    <xf borderId="0" fillId="0" fontId="2" numFmtId="0" xfId="0" applyAlignment="1" applyFont="1">
      <alignment vertical="bottom"/>
    </xf>
    <xf borderId="167" fillId="16" fontId="22" numFmtId="49" xfId="0" applyAlignment="1" applyBorder="1" applyFont="1" applyNumberFormat="1">
      <alignment horizontal="center" readingOrder="0" vertical="bottom"/>
    </xf>
    <xf borderId="170" fillId="0" fontId="4" numFmtId="0" xfId="0" applyBorder="1" applyFont="1"/>
    <xf borderId="171" fillId="0" fontId="4" numFmtId="0" xfId="0" applyBorder="1" applyFont="1"/>
    <xf borderId="175" fillId="0" fontId="4" numFmtId="0" xfId="0" applyBorder="1" applyFont="1"/>
    <xf borderId="158" fillId="8" fontId="23" numFmtId="0" xfId="0" applyAlignment="1" applyBorder="1" applyFont="1">
      <alignment horizontal="center" shrinkToFit="0" wrapText="1"/>
    </xf>
    <xf borderId="176" fillId="8" fontId="23" numFmtId="21" xfId="0" applyAlignment="1" applyBorder="1" applyFont="1" applyNumberFormat="1">
      <alignment horizontal="center"/>
    </xf>
    <xf borderId="177" fillId="0" fontId="4" numFmtId="0" xfId="0" applyBorder="1" applyFont="1"/>
    <xf borderId="178" fillId="8" fontId="23" numFmtId="0" xfId="0" applyAlignment="1" applyBorder="1" applyFont="1">
      <alignment horizontal="center" readingOrder="0" shrinkToFit="0" wrapText="1"/>
    </xf>
    <xf borderId="1" fillId="10" fontId="2" numFmtId="49" xfId="0" applyAlignment="1" applyBorder="1" applyFont="1" applyNumberFormat="1">
      <alignment vertical="bottom"/>
    </xf>
    <xf borderId="179" fillId="8" fontId="23" numFmtId="0" xfId="0" applyAlignment="1" applyBorder="1" applyFont="1">
      <alignment horizontal="center"/>
    </xf>
    <xf borderId="116" fillId="8" fontId="23" numFmtId="21" xfId="0" applyAlignment="1" applyBorder="1" applyFont="1" applyNumberFormat="1">
      <alignment horizontal="center" shrinkToFit="0" wrapText="1"/>
    </xf>
    <xf borderId="115" fillId="8" fontId="23" numFmtId="0" xfId="0" applyAlignment="1" applyBorder="1" applyFont="1">
      <alignment horizontal="center"/>
    </xf>
    <xf borderId="180" fillId="8" fontId="23" numFmtId="167" xfId="0" applyAlignment="1" applyBorder="1" applyFont="1" applyNumberFormat="1">
      <alignment horizontal="center"/>
    </xf>
    <xf borderId="181" fillId="0" fontId="4" numFmtId="0" xfId="0" applyBorder="1" applyFont="1"/>
    <xf borderId="173" fillId="8" fontId="23" numFmtId="164" xfId="0" applyAlignment="1" applyBorder="1" applyFont="1" applyNumberFormat="1">
      <alignment horizontal="center"/>
    </xf>
    <xf borderId="182" fillId="8" fontId="23" numFmtId="0" xfId="0" applyAlignment="1" applyBorder="1" applyFont="1">
      <alignment horizontal="center"/>
    </xf>
    <xf borderId="182" fillId="8" fontId="23" numFmtId="0" xfId="0" applyAlignment="1" applyBorder="1" applyFont="1">
      <alignment horizontal="center" shrinkToFit="0" wrapText="1"/>
    </xf>
    <xf borderId="183" fillId="8" fontId="23" numFmtId="0" xfId="0" applyAlignment="1" applyBorder="1" applyFont="1">
      <alignment horizontal="center" shrinkToFit="0" wrapText="1"/>
    </xf>
    <xf borderId="184" fillId="8" fontId="23" numFmtId="0" xfId="0" applyAlignment="1" applyBorder="1" applyFont="1">
      <alignment horizontal="center"/>
    </xf>
    <xf borderId="173" fillId="8" fontId="23" numFmtId="0" xfId="0" applyAlignment="1" applyBorder="1" applyFont="1">
      <alignment horizontal="center" shrinkToFit="0" wrapText="1"/>
    </xf>
    <xf borderId="169" fillId="8" fontId="23" numFmtId="0" xfId="0" applyAlignment="1" applyBorder="1" applyFont="1">
      <alignment horizontal="center" readingOrder="0" shrinkToFit="0" wrapText="1"/>
    </xf>
    <xf borderId="169" fillId="8" fontId="23" numFmtId="46" xfId="0" applyAlignment="1" applyBorder="1" applyFont="1" applyNumberFormat="1">
      <alignment horizontal="center" readingOrder="0" shrinkToFit="0" wrapText="1"/>
    </xf>
    <xf borderId="169" fillId="17" fontId="23" numFmtId="21" xfId="0" applyAlignment="1" applyBorder="1" applyFill="1" applyFont="1" applyNumberFormat="1">
      <alignment horizontal="center"/>
    </xf>
    <xf borderId="168" fillId="0" fontId="4" numFmtId="0" xfId="0" applyBorder="1" applyFont="1"/>
    <xf borderId="183" fillId="8" fontId="23" numFmtId="0" xfId="0" applyAlignment="1" applyBorder="1" applyFont="1">
      <alignment horizontal="center"/>
    </xf>
    <xf borderId="0" fillId="0" fontId="2" numFmtId="0" xfId="0" applyFont="1"/>
    <xf borderId="173" fillId="0" fontId="23" numFmtId="0" xfId="0" applyAlignment="1" applyBorder="1" applyFont="1">
      <alignment horizontal="center"/>
    </xf>
    <xf borderId="183" fillId="0" fontId="23" numFmtId="167" xfId="0" applyAlignment="1" applyBorder="1" applyFont="1" applyNumberFormat="1">
      <alignment horizontal="center"/>
    </xf>
    <xf borderId="168" fillId="0" fontId="23" numFmtId="0" xfId="0" applyAlignment="1" applyBorder="1" applyFont="1">
      <alignment horizontal="center"/>
    </xf>
    <xf borderId="185" fillId="0" fontId="23" numFmtId="167" xfId="0" applyAlignment="1" applyBorder="1" applyFont="1" applyNumberFormat="1">
      <alignment horizontal="center"/>
    </xf>
    <xf borderId="171" fillId="0" fontId="23" numFmtId="0" xfId="0" applyAlignment="1" applyBorder="1" applyFont="1">
      <alignment horizontal="center"/>
    </xf>
    <xf borderId="10" fillId="0" fontId="2" numFmtId="164" xfId="0" applyAlignment="1" applyBorder="1" applyFont="1" applyNumberFormat="1">
      <alignment horizontal="center"/>
    </xf>
    <xf borderId="10" fillId="0" fontId="2" numFmtId="0" xfId="0" applyAlignment="1" applyBorder="1" applyFont="1">
      <alignment horizontal="left"/>
    </xf>
    <xf borderId="10" fillId="0" fontId="2" numFmtId="0" xfId="0" applyAlignment="1" applyBorder="1" applyFont="1">
      <alignment horizontal="center"/>
    </xf>
    <xf borderId="10" fillId="0" fontId="2" numFmtId="0" xfId="0" applyAlignment="1" applyBorder="1" applyFont="1">
      <alignment horizontal="center" readingOrder="0"/>
    </xf>
    <xf borderId="10" fillId="0" fontId="2" numFmtId="46" xfId="0" applyAlignment="1" applyBorder="1" applyFont="1" applyNumberFormat="1">
      <alignment horizontal="center"/>
    </xf>
    <xf borderId="10" fillId="0" fontId="2" numFmtId="168" xfId="0" applyBorder="1" applyFont="1" applyNumberFormat="1"/>
    <xf borderId="10" fillId="0" fontId="2" numFmtId="167" xfId="0" applyBorder="1" applyFont="1" applyNumberFormat="1"/>
    <xf borderId="0" fillId="0" fontId="2" numFmtId="164" xfId="0" applyAlignment="1" applyFont="1" applyNumberFormat="1">
      <alignment horizontal="center"/>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2" numFmtId="46" xfId="0" applyAlignment="1" applyFont="1" applyNumberFormat="1">
      <alignment horizontal="center"/>
    </xf>
    <xf borderId="0" fillId="0" fontId="2" numFmtId="167" xfId="0" applyAlignment="1" applyFont="1" applyNumberFormat="1">
      <alignment horizontal="center"/>
    </xf>
    <xf borderId="0" fillId="0" fontId="2" numFmtId="167" xfId="0" applyFont="1" applyNumberFormat="1"/>
    <xf borderId="0" fillId="0" fontId="2" numFmtId="168" xfId="0" applyFont="1" applyNumberFormat="1"/>
    <xf borderId="0" fillId="0" fontId="2" numFmtId="0" xfId="0" applyAlignment="1" applyFont="1">
      <alignment horizontal="left" shrinkToFit="0" wrapText="1"/>
    </xf>
    <xf borderId="0" fillId="0" fontId="2" numFmtId="0" xfId="0" applyAlignment="1" applyFont="1">
      <alignment horizontal="left" readingOrder="0"/>
    </xf>
    <xf borderId="0" fillId="0" fontId="2" numFmtId="164" xfId="0" applyAlignment="1" applyFont="1" applyNumberForma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46" xfId="0" applyAlignment="1" applyFont="1" applyNumberFormat="1">
      <alignment horizontal="center" shrinkToFit="0" wrapText="1"/>
    </xf>
    <xf borderId="0" fillId="0" fontId="2" numFmtId="0" xfId="0" applyAlignment="1" applyFont="1">
      <alignment horizontal="left" readingOrder="0" shrinkToFit="0" wrapText="1"/>
    </xf>
    <xf borderId="1" fillId="10" fontId="2" numFmtId="46" xfId="0" applyAlignment="1" applyBorder="1" applyFont="1" applyNumberFormat="1">
      <alignment horizontal="center" shrinkToFit="0" wrapText="1"/>
    </xf>
    <xf borderId="0" fillId="0" fontId="2" numFmtId="167" xfId="0" applyAlignment="1" applyFont="1" applyNumberFormat="1">
      <alignment horizontal="center" shrinkToFit="0" wrapText="1"/>
    </xf>
    <xf borderId="0" fillId="0" fontId="2" numFmtId="21" xfId="0" applyFont="1" applyNumberFormat="1"/>
    <xf borderId="0" fillId="0" fontId="2" numFmtId="21" xfId="0" applyAlignment="1" applyFont="1" applyNumberFormat="1">
      <alignment horizontal="center" shrinkToFit="0" wrapText="1"/>
    </xf>
    <xf borderId="1" fillId="8" fontId="2" numFmtId="164" xfId="0" applyAlignment="1" applyBorder="1" applyFont="1" applyNumberFormat="1">
      <alignment horizontal="center" shrinkToFit="0" wrapText="1"/>
    </xf>
    <xf borderId="1" fillId="8" fontId="2" numFmtId="0" xfId="0" applyAlignment="1" applyBorder="1" applyFont="1">
      <alignment horizontal="left" shrinkToFit="0" wrapText="1"/>
    </xf>
    <xf borderId="1" fillId="8" fontId="2" numFmtId="0" xfId="0" applyAlignment="1" applyBorder="1" applyFont="1">
      <alignment horizontal="center" shrinkToFit="0" wrapText="1"/>
    </xf>
    <xf borderId="1" fillId="8" fontId="2" numFmtId="0" xfId="0" applyAlignment="1" applyBorder="1" applyFont="1">
      <alignment horizontal="center" readingOrder="0" shrinkToFit="0" wrapText="1"/>
    </xf>
    <xf borderId="1" fillId="8" fontId="2" numFmtId="46" xfId="0" applyAlignment="1" applyBorder="1" applyFont="1" applyNumberFormat="1">
      <alignment horizontal="center" shrinkToFit="0" wrapText="1"/>
    </xf>
    <xf borderId="1" fillId="8" fontId="2" numFmtId="168" xfId="0" applyBorder="1" applyFont="1" applyNumberFormat="1"/>
    <xf borderId="1" fillId="8" fontId="2" numFmtId="167" xfId="0" applyBorder="1" applyFont="1" applyNumberFormat="1"/>
    <xf borderId="1" fillId="8" fontId="2" numFmtId="0" xfId="0" applyAlignment="1" applyBorder="1" applyFont="1">
      <alignment horizontal="center"/>
    </xf>
    <xf borderId="1" fillId="8" fontId="2" numFmtId="46" xfId="0" applyAlignment="1" applyBorder="1" applyFont="1" applyNumberFormat="1">
      <alignment horizontal="center"/>
    </xf>
    <xf borderId="1" fillId="8" fontId="2" numFmtId="21" xfId="0" applyAlignment="1" applyBorder="1" applyFont="1" applyNumberFormat="1">
      <alignment horizontal="center" shrinkToFit="0" wrapText="1"/>
    </xf>
    <xf borderId="0" fillId="0" fontId="2" numFmtId="0" xfId="0" applyAlignment="1" applyFont="1">
      <alignment horizontal="left" shrinkToFit="0" vertical="top" wrapText="1"/>
    </xf>
    <xf borderId="0" fillId="0" fontId="2" numFmtId="0" xfId="0" applyAlignment="1" applyFont="1">
      <alignment horizontal="left" readingOrder="0" shrinkToFit="0" wrapText="1"/>
    </xf>
    <xf borderId="0" fillId="0" fontId="24" numFmtId="169" xfId="0" applyAlignment="1" applyFont="1" applyNumberFormat="1">
      <alignment horizontal="center" readingOrder="0"/>
    </xf>
    <xf borderId="0" fillId="0" fontId="24" numFmtId="0" xfId="0" applyAlignment="1" applyFont="1">
      <alignment horizontal="left" readingOrder="0"/>
    </xf>
    <xf borderId="0" fillId="0" fontId="24" numFmtId="0" xfId="0" applyAlignment="1" applyFont="1">
      <alignment horizontal="center" readingOrder="0"/>
    </xf>
    <xf borderId="0" fillId="0" fontId="24" numFmtId="168" xfId="0" applyAlignment="1" applyFont="1" applyNumberFormat="1">
      <alignment horizontal="center" readingOrder="0"/>
    </xf>
    <xf borderId="0" fillId="0" fontId="24" numFmtId="0" xfId="0" applyAlignment="1" applyFont="1">
      <alignment vertical="bottom"/>
    </xf>
    <xf borderId="0" fillId="0" fontId="24" numFmtId="0" xfId="0" applyAlignment="1" applyFont="1">
      <alignment horizontal="left" readingOrder="0"/>
    </xf>
    <xf borderId="0" fillId="0" fontId="24" numFmtId="164" xfId="0" applyAlignment="1" applyFont="1" applyNumberFormat="1">
      <alignment horizontal="center" readingOrder="0"/>
    </xf>
    <xf borderId="0" fillId="0" fontId="2" numFmtId="170" xfId="0" applyAlignment="1" applyFont="1" applyNumberFormat="1">
      <alignment horizontal="center" readingOrder="0"/>
    </xf>
    <xf borderId="0" fillId="0" fontId="2" numFmtId="0" xfId="0" applyAlignment="1" applyFont="1">
      <alignment horizontal="left" readingOrder="0"/>
    </xf>
    <xf borderId="0" fillId="0" fontId="2" numFmtId="169" xfId="0" applyAlignment="1" applyFont="1" applyNumberFormat="1">
      <alignment horizontal="center" readingOrder="0"/>
    </xf>
    <xf borderId="0" fillId="0" fontId="2" numFmtId="14" xfId="0" applyAlignment="1" applyFont="1" applyNumberFormat="1">
      <alignment horizontal="center" readingOrder="0"/>
    </xf>
    <xf borderId="0" fillId="0" fontId="2" numFmtId="0" xfId="0" applyAlignment="1" applyFont="1">
      <alignment readingOrder="0"/>
    </xf>
    <xf borderId="0" fillId="0" fontId="2" numFmtId="168" xfId="0" applyAlignment="1" applyFont="1" applyNumberFormat="1">
      <alignment horizontal="center" readingOrder="0"/>
    </xf>
    <xf borderId="0" fillId="0" fontId="2" numFmtId="164" xfId="0" applyAlignment="1" applyFont="1" applyNumberFormat="1">
      <alignment horizontal="center" readingOrder="0"/>
    </xf>
    <xf borderId="0" fillId="0" fontId="2" numFmtId="46" xfId="0" applyAlignment="1" applyFont="1" applyNumberFormat="1">
      <alignment horizontal="center" readingOrder="0"/>
    </xf>
    <xf borderId="0" fillId="0" fontId="2" numFmtId="171" xfId="0" applyAlignment="1" applyFont="1" applyNumberFormat="1">
      <alignment horizontal="center" readingOrder="0"/>
    </xf>
    <xf borderId="0" fillId="0" fontId="2" numFmtId="172" xfId="0" applyAlignment="1" applyFont="1" applyNumberFormat="1">
      <alignment horizontal="center" readingOrder="0"/>
    </xf>
    <xf borderId="0" fillId="0" fontId="25" numFmtId="164" xfId="0" applyAlignment="1" applyFont="1" applyNumberFormat="1">
      <alignment horizontal="center"/>
    </xf>
    <xf borderId="0" fillId="0" fontId="25" numFmtId="0" xfId="0" applyAlignment="1" applyFont="1">
      <alignment horizontal="center"/>
    </xf>
    <xf borderId="0" fillId="0" fontId="25" numFmtId="46" xfId="0" applyAlignment="1" applyFont="1" applyNumberFormat="1">
      <alignment horizontal="center"/>
    </xf>
    <xf borderId="0" fillId="0" fontId="25" numFmtId="0" xfId="0" applyAlignment="1" applyFont="1">
      <alignment horizontal="left"/>
    </xf>
    <xf borderId="0" fillId="0" fontId="26" numFmtId="0" xfId="0" applyAlignment="1" applyFont="1">
      <alignment horizontal="right"/>
    </xf>
    <xf borderId="0" fillId="0" fontId="27" numFmtId="46" xfId="0" applyFont="1" applyNumberFormat="1"/>
    <xf borderId="0" fillId="0" fontId="28" numFmtId="0" xfId="0" applyAlignment="1" applyFont="1">
      <alignment horizontal="center" readingOrder="0" vertical="center"/>
    </xf>
    <xf borderId="186" fillId="0" fontId="28" numFmtId="0" xfId="0" applyAlignment="1" applyBorder="1" applyFont="1">
      <alignment horizontal="center" vertical="center"/>
    </xf>
    <xf borderId="167" fillId="0" fontId="28" numFmtId="0" xfId="0" applyAlignment="1" applyBorder="1" applyFont="1">
      <alignment horizontal="center" vertical="center"/>
    </xf>
    <xf borderId="182" fillId="0" fontId="22" numFmtId="164" xfId="0" applyAlignment="1" applyBorder="1" applyFont="1" applyNumberFormat="1">
      <alignment readingOrder="0"/>
    </xf>
    <xf borderId="183" fillId="0" fontId="22" numFmtId="171" xfId="0" applyAlignment="1" applyBorder="1" applyFont="1" applyNumberFormat="1">
      <alignment readingOrder="0"/>
    </xf>
    <xf borderId="187" fillId="0" fontId="4" numFmtId="0" xfId="0" applyBorder="1" applyFont="1"/>
    <xf borderId="2" fillId="0" fontId="26" numFmtId="0" xfId="0" applyAlignment="1" applyBorder="1" applyFont="1">
      <alignment horizontal="center" vertical="center"/>
    </xf>
    <xf borderId="3" fillId="0" fontId="26" numFmtId="0" xfId="0" applyAlignment="1" applyBorder="1" applyFont="1">
      <alignment horizontal="center" vertical="center"/>
    </xf>
    <xf borderId="188" fillId="0" fontId="26" numFmtId="0" xfId="0" applyAlignment="1" applyBorder="1" applyFont="1">
      <alignment horizontal="center" vertical="center"/>
    </xf>
    <xf borderId="167" fillId="0" fontId="26" numFmtId="0" xfId="0" applyAlignment="1" applyBorder="1" applyFont="1">
      <alignment horizontal="center" vertical="center"/>
    </xf>
    <xf borderId="189" fillId="0" fontId="4" numFmtId="0" xfId="0" applyBorder="1" applyFont="1"/>
    <xf borderId="185" fillId="0" fontId="4" numFmtId="0" xfId="0" applyBorder="1" applyFont="1"/>
    <xf borderId="130" fillId="0" fontId="26" numFmtId="0" xfId="0" applyAlignment="1" applyBorder="1" applyFont="1">
      <alignment horizontal="center" vertical="center"/>
    </xf>
    <xf borderId="183" fillId="0" fontId="26" numFmtId="0" xfId="0" applyAlignment="1" applyBorder="1" applyFont="1">
      <alignment horizontal="center" vertical="center"/>
    </xf>
    <xf borderId="136" fillId="11" fontId="26" numFmtId="0" xfId="0" applyAlignment="1" applyBorder="1" applyFont="1">
      <alignment horizontal="center" vertical="center"/>
    </xf>
    <xf borderId="185" fillId="0" fontId="26" numFmtId="0" xfId="0" applyAlignment="1" applyBorder="1" applyFont="1">
      <alignment horizontal="center" vertical="center"/>
    </xf>
    <xf borderId="190" fillId="0" fontId="26" numFmtId="0" xfId="0" applyAlignment="1" applyBorder="1" applyFont="1">
      <alignment horizontal="center" vertical="center"/>
    </xf>
    <xf borderId="28" fillId="0" fontId="26" numFmtId="0" xfId="0" applyAlignment="1" applyBorder="1" applyFont="1">
      <alignment horizontal="left" vertical="center"/>
    </xf>
    <xf borderId="43" fillId="0" fontId="26" numFmtId="0" xfId="0" applyAlignment="1" applyBorder="1" applyFont="1">
      <alignment horizontal="center" vertical="center"/>
    </xf>
    <xf borderId="43" fillId="0" fontId="26" numFmtId="173" xfId="0" applyAlignment="1" applyBorder="1" applyFont="1" applyNumberFormat="1">
      <alignment horizontal="center" vertical="center"/>
    </xf>
    <xf borderId="44" fillId="0" fontId="26" numFmtId="167" xfId="0" applyAlignment="1" applyBorder="1" applyFont="1" applyNumberFormat="1">
      <alignment horizontal="center" vertical="center"/>
    </xf>
    <xf borderId="63" fillId="0" fontId="26" numFmtId="0" xfId="0" applyAlignment="1" applyBorder="1" applyFont="1">
      <alignment horizontal="center" vertical="center"/>
    </xf>
    <xf borderId="65" fillId="0" fontId="26" numFmtId="167" xfId="0" applyAlignment="1" applyBorder="1" applyFont="1" applyNumberFormat="1">
      <alignment horizontal="center" vertical="center"/>
    </xf>
    <xf borderId="191" fillId="0" fontId="26" numFmtId="0" xfId="0" applyAlignment="1" applyBorder="1" applyFont="1">
      <alignment horizontal="center" vertical="center"/>
    </xf>
    <xf borderId="160" fillId="0" fontId="26" numFmtId="0" xfId="0" applyAlignment="1" applyBorder="1" applyFont="1">
      <alignment horizontal="left" vertical="center"/>
    </xf>
    <xf borderId="65" fillId="0" fontId="26" numFmtId="0" xfId="0" applyAlignment="1" applyBorder="1" applyFont="1">
      <alignment horizontal="center" vertical="center"/>
    </xf>
    <xf borderId="0" fillId="0" fontId="25" numFmtId="0" xfId="0" applyFont="1"/>
    <xf borderId="192" fillId="0" fontId="26" numFmtId="0" xfId="0" applyAlignment="1" applyBorder="1" applyFont="1">
      <alignment horizontal="center" vertical="center"/>
    </xf>
    <xf borderId="36" fillId="0" fontId="26" numFmtId="0" xfId="0" applyAlignment="1" applyBorder="1" applyFont="1">
      <alignment horizontal="left" vertical="center"/>
    </xf>
    <xf borderId="13" fillId="0" fontId="26" numFmtId="0" xfId="0" applyAlignment="1" applyBorder="1" applyFont="1">
      <alignment horizontal="center" vertical="center"/>
    </xf>
    <xf borderId="14" fillId="0" fontId="26" numFmtId="167" xfId="0" applyAlignment="1" applyBorder="1" applyFont="1" applyNumberFormat="1">
      <alignment horizontal="center" vertical="center"/>
    </xf>
    <xf borderId="167" fillId="0" fontId="28" numFmtId="0" xfId="0" applyAlignment="1" applyBorder="1" applyFont="1">
      <alignment horizontal="left" vertical="center"/>
    </xf>
    <xf borderId="171" fillId="0" fontId="28" numFmtId="0" xfId="0" applyAlignment="1" applyBorder="1" applyFont="1">
      <alignment horizontal="left" vertical="center"/>
    </xf>
    <xf borderId="173" fillId="0" fontId="28" numFmtId="0" xfId="0" applyAlignment="1" applyBorder="1" applyFont="1">
      <alignment horizontal="center" vertical="center"/>
    </xf>
    <xf borderId="182" fillId="0" fontId="28" numFmtId="167" xfId="0" applyAlignment="1" applyBorder="1" applyFont="1" applyNumberFormat="1">
      <alignment horizontal="center" vertical="center"/>
    </xf>
    <xf borderId="183" fillId="0" fontId="28" numFmtId="0" xfId="0" applyAlignment="1" applyBorder="1" applyFont="1">
      <alignment horizontal="center" vertical="center"/>
    </xf>
    <xf borderId="183" fillId="0" fontId="28" numFmtId="167" xfId="0" applyAlignment="1" applyBorder="1" applyFont="1" applyNumberFormat="1">
      <alignment horizontal="center" vertical="center"/>
    </xf>
    <xf borderId="0" fillId="0" fontId="28" numFmtId="0" xfId="0" applyAlignment="1" applyFont="1">
      <alignment horizontal="left" readingOrder="0"/>
    </xf>
    <xf borderId="0" fillId="0" fontId="28" numFmtId="0" xfId="0" applyAlignment="1" applyFont="1">
      <alignment horizontal="left"/>
    </xf>
    <xf borderId="10" fillId="0" fontId="26" numFmtId="0" xfId="0" applyAlignment="1" applyBorder="1" applyFont="1">
      <alignment horizontal="left"/>
    </xf>
    <xf borderId="0" fillId="0" fontId="26" numFmtId="0" xfId="0" applyAlignment="1" applyFont="1">
      <alignment horizontal="center"/>
    </xf>
    <xf borderId="0" fillId="0" fontId="29" numFmtId="0" xfId="0" applyAlignment="1" applyFont="1">
      <alignment horizontal="left"/>
    </xf>
    <xf borderId="0" fillId="0" fontId="30" numFmtId="173" xfId="0" applyAlignment="1" applyFont="1" applyNumberFormat="1">
      <alignment horizontal="left"/>
    </xf>
    <xf borderId="0" fillId="0" fontId="26" numFmtId="0" xfId="0" applyFont="1"/>
    <xf borderId="0" fillId="0" fontId="26" numFmtId="0" xfId="0" applyAlignment="1" applyFont="1">
      <alignment horizontal="left"/>
    </xf>
    <xf borderId="0" fillId="0" fontId="26" numFmtId="0" xfId="0" applyAlignment="1" applyFont="1">
      <alignment horizontal="center" vertical="center"/>
    </xf>
    <xf borderId="0" fillId="0" fontId="26" numFmtId="0" xfId="0" applyAlignment="1" applyFont="1">
      <alignment horizontal="right" vertical="center"/>
    </xf>
    <xf borderId="0" fillId="0" fontId="31" numFmtId="174" xfId="0" applyAlignment="1" applyFont="1" applyNumberFormat="1">
      <alignment horizontal="left" vertical="center"/>
    </xf>
    <xf borderId="0" fillId="0" fontId="26" numFmtId="0" xfId="0" applyAlignment="1" applyFont="1">
      <alignment horizontal="left" vertical="center"/>
    </xf>
    <xf borderId="0" fillId="0" fontId="32" numFmtId="9" xfId="0" applyAlignment="1" applyFont="1" applyNumberFormat="1">
      <alignment horizontal="left" vertical="center"/>
    </xf>
    <xf borderId="0" fillId="0" fontId="28" numFmtId="0" xfId="0" applyAlignment="1" applyFont="1">
      <alignment horizontal="left" vertical="center"/>
    </xf>
    <xf borderId="0" fillId="0" fontId="33" numFmtId="0" xfId="0" applyAlignment="1" applyFont="1">
      <alignment horizontal="left" shrinkToFit="0" vertical="top" wrapText="1"/>
    </xf>
    <xf borderId="0" fillId="0" fontId="33" numFmtId="0" xfId="0" applyAlignment="1" applyFont="1">
      <alignment horizontal="left" readingOrder="0" shrinkToFit="0" vertical="top" wrapText="1"/>
    </xf>
    <xf borderId="0" fillId="0" fontId="34" numFmtId="0" xfId="0" applyAlignment="1" applyFont="1">
      <alignment horizontal="left" shrinkToFit="0" vertical="top" wrapText="1"/>
    </xf>
    <xf borderId="0" fillId="0" fontId="33" numFmtId="0" xfId="0" applyAlignment="1" applyFont="1">
      <alignment shrinkToFit="0" vertical="top" wrapText="1"/>
    </xf>
    <xf borderId="0" fillId="0" fontId="25" numFmtId="0" xfId="0" applyAlignment="1" applyFont="1">
      <alignment readingOrder="0"/>
    </xf>
    <xf borderId="0" fillId="18" fontId="35" numFmtId="0" xfId="0" applyAlignment="1" applyFill="1" applyFont="1">
      <alignment horizontal="left" readingOrder="0"/>
    </xf>
    <xf borderId="0" fillId="0" fontId="25" numFmtId="175" xfId="0" applyAlignment="1" applyFont="1" applyNumberFormat="1">
      <alignment readingOrder="0"/>
    </xf>
    <xf borderId="0" fillId="0" fontId="25" numFmtId="17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0" topLeftCell="D11" activePane="bottomRight" state="frozen"/>
      <selection activeCell="D1" sqref="D1" pane="topRight"/>
      <selection activeCell="A11" sqref="A11" pane="bottomLeft"/>
      <selection activeCell="D11" sqref="D11" pane="bottomRight"/>
    </sheetView>
  </sheetViews>
  <sheetFormatPr customHeight="1" defaultColWidth="14.43" defaultRowHeight="15.75" outlineLevelRow="1"/>
  <cols>
    <col customWidth="1" min="1" max="1" width="4.86"/>
    <col customWidth="1" min="2" max="2" width="14.29"/>
    <col customWidth="1" min="3" max="3" width="20.86"/>
    <col customWidth="1" min="4" max="4" width="3.57"/>
    <col customWidth="1" min="5" max="5" width="1.14"/>
    <col customWidth="1" min="6" max="6" width="2.43"/>
    <col customWidth="1" min="7" max="7" width="3.57"/>
    <col customWidth="1" min="8" max="8" width="8.29"/>
    <col customWidth="1" min="9" max="9" width="0.14"/>
    <col customWidth="1" min="10" max="10" width="9.43"/>
    <col customWidth="1" min="11" max="11" width="0.43"/>
    <col customWidth="1" min="12" max="12" width="9.57"/>
    <col customWidth="1" min="13" max="13" width="0.14"/>
    <col customWidth="1" min="14" max="14" width="9.43"/>
    <col customWidth="1" hidden="1" min="15" max="15" width="0.14"/>
    <col customWidth="1" min="16" max="16" width="9.71"/>
    <col customWidth="1" min="17" max="17" width="0.14"/>
    <col customWidth="1" min="18" max="18" width="9.57"/>
    <col customWidth="1" hidden="1" min="19" max="19" width="0.29"/>
    <col customWidth="1" min="20" max="20" width="9.71"/>
    <col customWidth="1" hidden="1" min="21" max="21" width="0.29"/>
    <col customWidth="1" hidden="1" min="22" max="22" width="8.29"/>
    <col customWidth="1" min="23" max="23" width="0.14"/>
    <col customWidth="1" min="24" max="24" width="9.86"/>
    <col customWidth="1" min="25" max="25" width="0.14"/>
    <col customWidth="1" min="26" max="26" width="9.57"/>
    <col customWidth="1" hidden="1" min="27" max="27" width="0.29"/>
    <col customWidth="1" min="28" max="28" width="10.14"/>
    <col customWidth="1" hidden="1" min="29" max="29" width="0.29"/>
    <col customWidth="1" min="30" max="30" width="9.43"/>
    <col customWidth="1" hidden="1" min="31" max="31" width="0.29"/>
    <col customWidth="1" min="32" max="32" width="9.29"/>
    <col customWidth="1" hidden="1" min="33" max="33" width="0.29"/>
    <col customWidth="1" min="34" max="34" width="9.43"/>
    <col customWidth="1" hidden="1" min="35" max="35" width="0.29"/>
    <col customWidth="1" min="36" max="36" width="9.57"/>
    <col customWidth="1" hidden="1" min="37" max="37" width="0.29"/>
    <col customWidth="1" min="38" max="38" width="9.71"/>
    <col customWidth="1" min="39" max="39" width="0.29"/>
    <col customWidth="1" min="40" max="40" width="9.43"/>
    <col customWidth="1" hidden="1" min="41" max="41" width="0.29"/>
    <col customWidth="1" min="42" max="42" width="9.71"/>
    <col customWidth="1" hidden="1" min="43" max="43" width="0.29"/>
    <col customWidth="1" min="44" max="44" width="10.0"/>
    <col customWidth="1" hidden="1" min="45" max="45" width="0.86"/>
    <col customWidth="1" min="46" max="46" width="10.0"/>
    <col customWidth="1" min="47" max="47" width="0.43"/>
    <col customWidth="1" min="48" max="48" width="9.29"/>
    <col customWidth="1" hidden="1" min="49" max="49" width="0.14"/>
    <col customWidth="1" min="50" max="50" width="9.86"/>
    <col customWidth="1" min="51" max="51" width="0.14"/>
    <col customWidth="1" min="52" max="52" width="9.29"/>
    <col customWidth="1" hidden="1" min="53" max="53" width="0.29"/>
    <col customWidth="1" min="54" max="54" width="9.29"/>
    <col customWidth="1" min="55" max="55" width="0.14"/>
    <col customWidth="1" min="56" max="56" width="9.86"/>
    <col customWidth="1" min="57" max="57" width="0.14"/>
    <col customWidth="1" min="58" max="58" width="9.43"/>
    <col customWidth="1" hidden="1" min="59" max="59" width="0.29"/>
    <col customWidth="1" min="60" max="60" width="9.86"/>
    <col customWidth="1" hidden="1" min="61" max="61" width="0.29"/>
    <col customWidth="1" hidden="1" min="62" max="62" width="8.71"/>
    <col customWidth="1" min="63" max="63" width="0.43"/>
  </cols>
  <sheetData>
    <row r="1" ht="1.5" customHeight="1">
      <c r="A1" s="1" t="s">
        <v>0</v>
      </c>
    </row>
    <row r="2" ht="15.75" customHeight="1">
      <c r="A2" s="2" t="s">
        <v>1</v>
      </c>
      <c r="C2" s="3">
        <v>46058.0</v>
      </c>
      <c r="H2" s="4"/>
      <c r="J2" s="4"/>
      <c r="L2" s="5"/>
      <c r="N2" s="5"/>
      <c r="AP2" s="6"/>
      <c r="AT2" s="7"/>
      <c r="AV2" s="7"/>
      <c r="AW2" s="7"/>
      <c r="AX2" s="7"/>
      <c r="AY2" s="7"/>
      <c r="AZ2" s="7"/>
      <c r="BA2" s="7"/>
      <c r="BB2" s="7"/>
      <c r="BC2" s="7"/>
      <c r="BD2" s="7"/>
      <c r="BE2" s="7"/>
      <c r="BF2" s="7"/>
      <c r="BG2" s="7"/>
      <c r="BH2" s="7"/>
      <c r="BI2" s="7"/>
      <c r="BJ2" s="7"/>
    </row>
    <row r="3" ht="42.0" customHeight="1">
      <c r="A3" s="8" t="s">
        <v>2</v>
      </c>
      <c r="B3" s="9" t="s">
        <v>3</v>
      </c>
      <c r="C3" s="10" t="s">
        <v>4</v>
      </c>
      <c r="D3" s="11" t="s">
        <v>5</v>
      </c>
      <c r="E3" s="12" t="s">
        <v>6</v>
      </c>
      <c r="F3" s="13"/>
      <c r="G3" s="14" t="s">
        <v>7</v>
      </c>
      <c r="H3" s="12" t="s">
        <v>8</v>
      </c>
      <c r="I3" s="15" t="s">
        <v>9</v>
      </c>
      <c r="J3" s="16"/>
      <c r="K3" s="16"/>
      <c r="L3" s="16"/>
      <c r="M3" s="16"/>
      <c r="N3" s="16"/>
      <c r="O3" s="16"/>
      <c r="P3" s="16"/>
      <c r="Q3" s="16"/>
      <c r="R3" s="16"/>
      <c r="S3" s="16"/>
      <c r="T3" s="17"/>
      <c r="U3" s="18" t="s">
        <v>10</v>
      </c>
      <c r="V3" s="19"/>
      <c r="W3" s="19"/>
      <c r="X3" s="19"/>
      <c r="Y3" s="19"/>
      <c r="Z3" s="19"/>
      <c r="AA3" s="19"/>
      <c r="AB3" s="19"/>
      <c r="AC3" s="19"/>
      <c r="AD3" s="19"/>
      <c r="AE3" s="19"/>
      <c r="AF3" s="19"/>
      <c r="AG3" s="19"/>
      <c r="AH3" s="19"/>
      <c r="AI3" s="19"/>
      <c r="AJ3" s="19"/>
      <c r="AK3" s="19"/>
      <c r="AL3" s="20"/>
      <c r="AM3" s="21" t="s">
        <v>11</v>
      </c>
      <c r="AN3" s="19"/>
      <c r="AO3" s="19"/>
      <c r="AP3" s="19"/>
      <c r="AQ3" s="19"/>
      <c r="AR3" s="19"/>
      <c r="AS3" s="19"/>
      <c r="AT3" s="19"/>
      <c r="AU3" s="19"/>
      <c r="AV3" s="20"/>
      <c r="AW3" s="18" t="s">
        <v>12</v>
      </c>
      <c r="AX3" s="19"/>
      <c r="AY3" s="19"/>
      <c r="AZ3" s="19"/>
      <c r="BA3" s="19"/>
      <c r="BB3" s="19"/>
      <c r="BC3" s="19"/>
      <c r="BD3" s="19"/>
      <c r="BE3" s="19"/>
      <c r="BF3" s="19"/>
      <c r="BG3" s="19"/>
      <c r="BH3" s="19"/>
      <c r="BI3" s="19"/>
      <c r="BJ3" s="20"/>
      <c r="BK3" s="22"/>
    </row>
    <row r="4" ht="18.75" customHeight="1">
      <c r="A4" s="23"/>
      <c r="B4" s="24"/>
      <c r="C4" s="24"/>
      <c r="D4" s="24"/>
      <c r="E4" s="25"/>
      <c r="F4" s="26"/>
      <c r="G4" s="24"/>
      <c r="H4" s="25"/>
      <c r="I4" s="27" t="s">
        <v>13</v>
      </c>
      <c r="J4" s="28"/>
      <c r="K4" s="28"/>
      <c r="L4" s="28"/>
      <c r="M4" s="28"/>
      <c r="N4" s="29"/>
      <c r="O4" s="30" t="s">
        <v>14</v>
      </c>
      <c r="P4" s="28"/>
      <c r="Q4" s="28"/>
      <c r="R4" s="28"/>
      <c r="S4" s="28"/>
      <c r="T4" s="31"/>
      <c r="U4" s="32"/>
      <c r="AL4" s="33"/>
      <c r="AM4" s="32"/>
      <c r="AV4" s="33"/>
      <c r="AW4" s="32"/>
      <c r="BJ4" s="33"/>
      <c r="BK4" s="22"/>
    </row>
    <row r="5" ht="1.5" customHeight="1">
      <c r="A5" s="23"/>
      <c r="B5" s="24"/>
      <c r="C5" s="24"/>
      <c r="D5" s="24"/>
      <c r="E5" s="25"/>
      <c r="F5" s="26"/>
      <c r="G5" s="24"/>
      <c r="H5" s="25"/>
      <c r="I5" s="34" t="s">
        <v>15</v>
      </c>
      <c r="J5" s="35"/>
      <c r="K5" s="36" t="s">
        <v>16</v>
      </c>
      <c r="L5" s="35"/>
      <c r="M5" s="37" t="s">
        <v>17</v>
      </c>
      <c r="N5" s="38"/>
      <c r="O5" s="39" t="s">
        <v>15</v>
      </c>
      <c r="P5" s="35"/>
      <c r="Q5" s="36" t="s">
        <v>16</v>
      </c>
      <c r="R5" s="35"/>
      <c r="S5" s="37" t="s">
        <v>17</v>
      </c>
      <c r="T5" s="40"/>
      <c r="U5" s="41"/>
      <c r="V5" s="42"/>
      <c r="W5" s="42"/>
      <c r="X5" s="42"/>
      <c r="Y5" s="42"/>
      <c r="Z5" s="42"/>
      <c r="AA5" s="42"/>
      <c r="AB5" s="42"/>
      <c r="AC5" s="42"/>
      <c r="AD5" s="42"/>
      <c r="AE5" s="42"/>
      <c r="AF5" s="42"/>
      <c r="AG5" s="42"/>
      <c r="AH5" s="42"/>
      <c r="AI5" s="42"/>
      <c r="AJ5" s="42"/>
      <c r="AK5" s="42"/>
      <c r="AL5" s="43"/>
      <c r="AM5" s="41"/>
      <c r="AN5" s="42"/>
      <c r="AO5" s="42"/>
      <c r="AP5" s="42"/>
      <c r="AQ5" s="42"/>
      <c r="AR5" s="42"/>
      <c r="AS5" s="42"/>
      <c r="AT5" s="42"/>
      <c r="AU5" s="42"/>
      <c r="AV5" s="43"/>
      <c r="AW5" s="44"/>
      <c r="AX5" s="45"/>
      <c r="AY5" s="45"/>
      <c r="AZ5" s="45"/>
      <c r="BA5" s="45"/>
      <c r="BB5" s="45"/>
      <c r="BC5" s="45"/>
      <c r="BD5" s="45"/>
      <c r="BE5" s="45"/>
      <c r="BF5" s="45"/>
      <c r="BG5" s="45"/>
      <c r="BH5" s="45"/>
      <c r="BI5" s="45"/>
      <c r="BJ5" s="46"/>
      <c r="BK5" s="22"/>
    </row>
    <row r="6" ht="24.0" customHeight="1">
      <c r="A6" s="23"/>
      <c r="B6" s="24"/>
      <c r="C6" s="24"/>
      <c r="D6" s="24"/>
      <c r="E6" s="25"/>
      <c r="F6" s="26"/>
      <c r="G6" s="24"/>
      <c r="H6" s="25"/>
      <c r="I6" s="47"/>
      <c r="J6" s="26"/>
      <c r="K6" s="25"/>
      <c r="L6" s="26"/>
      <c r="M6" s="25"/>
      <c r="N6" s="48"/>
      <c r="O6" s="25"/>
      <c r="P6" s="26"/>
      <c r="Q6" s="25"/>
      <c r="R6" s="26"/>
      <c r="S6" s="25"/>
      <c r="T6" s="33"/>
      <c r="U6" s="49" t="s">
        <v>18</v>
      </c>
      <c r="V6" s="38"/>
      <c r="W6" s="49" t="s">
        <v>19</v>
      </c>
      <c r="X6" s="35"/>
      <c r="Y6" s="50" t="s">
        <v>20</v>
      </c>
      <c r="Z6" s="35"/>
      <c r="AA6" s="50" t="s">
        <v>21</v>
      </c>
      <c r="AB6" s="35"/>
      <c r="AC6" s="50" t="s">
        <v>22</v>
      </c>
      <c r="AD6" s="35"/>
      <c r="AE6" s="50" t="s">
        <v>23</v>
      </c>
      <c r="AF6" s="35"/>
      <c r="AG6" s="50" t="s">
        <v>24</v>
      </c>
      <c r="AH6" s="35"/>
      <c r="AI6" s="50" t="s">
        <v>25</v>
      </c>
      <c r="AJ6" s="51"/>
      <c r="AK6" s="50" t="s">
        <v>26</v>
      </c>
      <c r="AL6" s="40"/>
      <c r="AM6" s="52" t="s">
        <v>27</v>
      </c>
      <c r="AN6" s="35"/>
      <c r="AO6" s="53" t="s">
        <v>28</v>
      </c>
      <c r="AP6" s="35"/>
      <c r="AQ6" s="53" t="s">
        <v>29</v>
      </c>
      <c r="AR6" s="35"/>
      <c r="AS6" s="53" t="s">
        <v>30</v>
      </c>
      <c r="AT6" s="35"/>
      <c r="AU6" s="54" t="s">
        <v>31</v>
      </c>
      <c r="AV6" s="40"/>
      <c r="AW6" s="55" t="s">
        <v>32</v>
      </c>
      <c r="AX6" s="56"/>
      <c r="AY6" s="57" t="s">
        <v>33</v>
      </c>
      <c r="AZ6" s="56"/>
      <c r="BA6" s="57" t="s">
        <v>34</v>
      </c>
      <c r="BB6" s="56"/>
      <c r="BC6" s="57" t="s">
        <v>35</v>
      </c>
      <c r="BD6" s="56"/>
      <c r="BE6" s="57" t="s">
        <v>36</v>
      </c>
      <c r="BF6" s="56"/>
      <c r="BG6" s="57" t="s">
        <v>37</v>
      </c>
      <c r="BH6" s="56"/>
      <c r="BI6" s="57" t="s">
        <v>38</v>
      </c>
      <c r="BJ6" s="58"/>
      <c r="BK6" s="22"/>
    </row>
    <row r="7" ht="68.25" customHeight="1">
      <c r="A7" s="59"/>
      <c r="B7" s="60"/>
      <c r="C7" s="60"/>
      <c r="D7" s="60"/>
      <c r="E7" s="61"/>
      <c r="F7" s="62"/>
      <c r="G7" s="60"/>
      <c r="H7" s="63"/>
      <c r="I7" s="64"/>
      <c r="J7" s="65"/>
      <c r="K7" s="63"/>
      <c r="L7" s="65"/>
      <c r="M7" s="63"/>
      <c r="N7" s="66"/>
      <c r="O7" s="63"/>
      <c r="P7" s="65"/>
      <c r="Q7" s="63"/>
      <c r="R7" s="65"/>
      <c r="S7" s="63"/>
      <c r="T7" s="43"/>
      <c r="U7" s="44"/>
      <c r="V7" s="67"/>
      <c r="W7" s="44"/>
      <c r="X7" s="68"/>
      <c r="Y7" s="69"/>
      <c r="Z7" s="68"/>
      <c r="AA7" s="69"/>
      <c r="AB7" s="68"/>
      <c r="AC7" s="69"/>
      <c r="AD7" s="68"/>
      <c r="AE7" s="69"/>
      <c r="AF7" s="68"/>
      <c r="AG7" s="69"/>
      <c r="AH7" s="68"/>
      <c r="AI7" s="69"/>
      <c r="AJ7" s="70"/>
      <c r="AK7" s="69"/>
      <c r="AL7" s="46"/>
      <c r="AM7" s="44"/>
      <c r="AN7" s="68"/>
      <c r="AO7" s="69"/>
      <c r="AP7" s="68"/>
      <c r="AQ7" s="69"/>
      <c r="AR7" s="68"/>
      <c r="AS7" s="69"/>
      <c r="AT7" s="68"/>
      <c r="AU7" s="71"/>
      <c r="AV7" s="46"/>
      <c r="AW7" s="71"/>
      <c r="AX7" s="68"/>
      <c r="AY7" s="69"/>
      <c r="AZ7" s="68"/>
      <c r="BA7" s="69"/>
      <c r="BB7" s="68"/>
      <c r="BC7" s="69"/>
      <c r="BD7" s="68"/>
      <c r="BE7" s="69"/>
      <c r="BF7" s="68"/>
      <c r="BG7" s="69"/>
      <c r="BH7" s="68"/>
      <c r="BI7" s="69"/>
      <c r="BJ7" s="46"/>
      <c r="BK7" s="72"/>
    </row>
    <row r="8" customHeight="1">
      <c r="A8" s="73" t="s">
        <v>39</v>
      </c>
      <c r="B8" s="74"/>
      <c r="C8" s="35"/>
      <c r="D8" s="75" t="s">
        <v>40</v>
      </c>
      <c r="E8" s="28"/>
      <c r="F8" s="28"/>
      <c r="G8" s="28"/>
      <c r="H8" s="76"/>
      <c r="I8" s="77">
        <v>107.0</v>
      </c>
      <c r="J8" s="78" t="s">
        <v>41</v>
      </c>
      <c r="K8" s="79">
        <v>92.0</v>
      </c>
      <c r="L8" s="78" t="s">
        <v>42</v>
      </c>
      <c r="M8" s="79">
        <v>77.0</v>
      </c>
      <c r="N8" s="80" t="s">
        <v>43</v>
      </c>
      <c r="O8" s="81">
        <v>92.0</v>
      </c>
      <c r="P8" s="78" t="s">
        <v>42</v>
      </c>
      <c r="Q8" s="79">
        <v>77.0</v>
      </c>
      <c r="R8" s="78" t="s">
        <v>43</v>
      </c>
      <c r="S8" s="79">
        <v>61.0</v>
      </c>
      <c r="T8" s="82" t="s">
        <v>44</v>
      </c>
      <c r="U8" s="83">
        <v>365.0</v>
      </c>
      <c r="V8" s="84" t="s">
        <v>45</v>
      </c>
      <c r="W8" s="85">
        <v>365.0</v>
      </c>
      <c r="X8" s="86" t="s">
        <v>45</v>
      </c>
      <c r="Y8" s="87">
        <v>365.0</v>
      </c>
      <c r="Z8" s="84" t="s">
        <v>45</v>
      </c>
      <c r="AA8" s="87">
        <v>365.0</v>
      </c>
      <c r="AB8" s="84" t="s">
        <v>45</v>
      </c>
      <c r="AC8" s="87">
        <v>365.0</v>
      </c>
      <c r="AD8" s="84" t="s">
        <v>45</v>
      </c>
      <c r="AE8" s="87">
        <v>365.0</v>
      </c>
      <c r="AF8" s="84" t="s">
        <v>45</v>
      </c>
      <c r="AG8" s="87">
        <v>365.0</v>
      </c>
      <c r="AH8" s="84" t="s">
        <v>45</v>
      </c>
      <c r="AI8" s="87">
        <v>365.0</v>
      </c>
      <c r="AJ8" s="84" t="s">
        <v>45</v>
      </c>
      <c r="AK8" s="87">
        <v>365.0</v>
      </c>
      <c r="AL8" s="88" t="s">
        <v>45</v>
      </c>
      <c r="AM8" s="89">
        <v>365.0</v>
      </c>
      <c r="AN8" s="84" t="s">
        <v>45</v>
      </c>
      <c r="AO8" s="87">
        <v>184.0</v>
      </c>
      <c r="AP8" s="84" t="s">
        <v>46</v>
      </c>
      <c r="AQ8" s="87">
        <v>365.0</v>
      </c>
      <c r="AR8" s="84" t="s">
        <v>45</v>
      </c>
      <c r="AS8" s="87">
        <v>365.0</v>
      </c>
      <c r="AT8" s="84" t="s">
        <v>45</v>
      </c>
      <c r="AU8" s="87">
        <v>1095.0</v>
      </c>
      <c r="AV8" s="90" t="s">
        <v>47</v>
      </c>
      <c r="AW8" s="91">
        <v>365.0</v>
      </c>
      <c r="AX8" s="84" t="s">
        <v>45</v>
      </c>
      <c r="AY8" s="87">
        <v>365.0</v>
      </c>
      <c r="AZ8" s="84" t="s">
        <v>45</v>
      </c>
      <c r="BA8" s="87">
        <v>122.0</v>
      </c>
      <c r="BB8" s="84" t="s">
        <v>48</v>
      </c>
      <c r="BC8" s="87">
        <v>184.0</v>
      </c>
      <c r="BD8" s="84" t="s">
        <v>46</v>
      </c>
      <c r="BE8" s="87">
        <v>184.0</v>
      </c>
      <c r="BF8" s="84" t="s">
        <v>46</v>
      </c>
      <c r="BG8" s="87">
        <v>365.0</v>
      </c>
      <c r="BH8" s="88" t="s">
        <v>45</v>
      </c>
      <c r="BI8" s="92">
        <v>184.0</v>
      </c>
      <c r="BJ8" s="88" t="s">
        <v>46</v>
      </c>
      <c r="BK8" s="22"/>
    </row>
    <row r="9" ht="24.0" hidden="1" customHeight="1">
      <c r="A9" s="32"/>
      <c r="C9" s="26"/>
      <c r="D9" s="75" t="s">
        <v>49</v>
      </c>
      <c r="E9" s="28"/>
      <c r="F9" s="28"/>
      <c r="G9" s="28"/>
      <c r="H9" s="76"/>
      <c r="I9" s="77">
        <v>92.0</v>
      </c>
      <c r="J9" s="78" t="s">
        <v>42</v>
      </c>
      <c r="K9" s="79">
        <v>77.0</v>
      </c>
      <c r="L9" s="78" t="s">
        <v>43</v>
      </c>
      <c r="M9" s="79">
        <v>61.0</v>
      </c>
      <c r="N9" s="80" t="s">
        <v>44</v>
      </c>
      <c r="O9" s="81">
        <v>77.0</v>
      </c>
      <c r="P9" s="78" t="s">
        <v>43</v>
      </c>
      <c r="Q9" s="79">
        <v>61.0</v>
      </c>
      <c r="R9" s="78" t="s">
        <v>44</v>
      </c>
      <c r="S9" s="79">
        <v>46.0</v>
      </c>
      <c r="T9" s="82" t="s">
        <v>50</v>
      </c>
      <c r="U9" s="77">
        <v>365.0</v>
      </c>
      <c r="V9" s="78" t="s">
        <v>45</v>
      </c>
      <c r="W9" s="93">
        <v>365.0</v>
      </c>
      <c r="X9" s="94" t="s">
        <v>45</v>
      </c>
      <c r="Y9" s="79">
        <v>365.0</v>
      </c>
      <c r="Z9" s="78" t="s">
        <v>45</v>
      </c>
      <c r="AA9" s="79">
        <v>365.0</v>
      </c>
      <c r="AB9" s="78" t="s">
        <v>45</v>
      </c>
      <c r="AC9" s="79">
        <v>365.0</v>
      </c>
      <c r="AD9" s="78" t="s">
        <v>45</v>
      </c>
      <c r="AE9" s="79">
        <v>365.0</v>
      </c>
      <c r="AF9" s="78" t="s">
        <v>45</v>
      </c>
      <c r="AG9" s="79">
        <v>365.0</v>
      </c>
      <c r="AH9" s="78" t="s">
        <v>45</v>
      </c>
      <c r="AI9" s="79">
        <v>365.0</v>
      </c>
      <c r="AJ9" s="78" t="s">
        <v>45</v>
      </c>
      <c r="AK9" s="79">
        <v>365.0</v>
      </c>
      <c r="AL9" s="80" t="s">
        <v>45</v>
      </c>
      <c r="AM9" s="77">
        <v>365.0</v>
      </c>
      <c r="AN9" s="78" t="s">
        <v>45</v>
      </c>
      <c r="AO9" s="79">
        <v>184.0</v>
      </c>
      <c r="AP9" s="78" t="s">
        <v>46</v>
      </c>
      <c r="AQ9" s="79">
        <v>365.0</v>
      </c>
      <c r="AR9" s="78" t="s">
        <v>45</v>
      </c>
      <c r="AS9" s="79">
        <v>365.0</v>
      </c>
      <c r="AT9" s="78" t="s">
        <v>45</v>
      </c>
      <c r="AU9" s="79">
        <v>1095.0</v>
      </c>
      <c r="AV9" s="82" t="s">
        <v>47</v>
      </c>
      <c r="AW9" s="95">
        <v>365.0</v>
      </c>
      <c r="AX9" s="78" t="s">
        <v>45</v>
      </c>
      <c r="AY9" s="79">
        <v>365.0</v>
      </c>
      <c r="AZ9" s="78" t="s">
        <v>45</v>
      </c>
      <c r="BA9" s="79">
        <v>122.0</v>
      </c>
      <c r="BB9" s="78" t="s">
        <v>48</v>
      </c>
      <c r="BC9" s="79">
        <v>184.0</v>
      </c>
      <c r="BD9" s="78" t="s">
        <v>46</v>
      </c>
      <c r="BE9" s="79">
        <v>184.0</v>
      </c>
      <c r="BF9" s="78" t="s">
        <v>46</v>
      </c>
      <c r="BG9" s="79">
        <v>365.0</v>
      </c>
      <c r="BH9" s="80" t="s">
        <v>45</v>
      </c>
      <c r="BI9" s="81">
        <v>184.0</v>
      </c>
      <c r="BJ9" s="80" t="s">
        <v>46</v>
      </c>
      <c r="BK9" s="22"/>
    </row>
    <row r="10" ht="25.5" hidden="1" customHeight="1">
      <c r="A10" s="41"/>
      <c r="B10" s="42"/>
      <c r="C10" s="65"/>
      <c r="D10" s="96" t="s">
        <v>51</v>
      </c>
      <c r="E10" s="74"/>
      <c r="F10" s="74"/>
      <c r="G10" s="74"/>
      <c r="H10" s="35"/>
      <c r="I10" s="97">
        <v>76.0</v>
      </c>
      <c r="J10" s="98" t="s">
        <v>43</v>
      </c>
      <c r="K10" s="99">
        <v>61.0</v>
      </c>
      <c r="L10" s="98" t="s">
        <v>49</v>
      </c>
      <c r="M10" s="99">
        <v>46.0</v>
      </c>
      <c r="N10" s="100" t="s">
        <v>50</v>
      </c>
      <c r="O10" s="101">
        <v>61.0</v>
      </c>
      <c r="P10" s="98" t="s">
        <v>49</v>
      </c>
      <c r="Q10" s="99">
        <v>46.0</v>
      </c>
      <c r="R10" s="98" t="s">
        <v>50</v>
      </c>
      <c r="S10" s="99">
        <v>30.0</v>
      </c>
      <c r="T10" s="102" t="s">
        <v>40</v>
      </c>
      <c r="U10" s="77">
        <v>365.0</v>
      </c>
      <c r="V10" s="78" t="s">
        <v>45</v>
      </c>
      <c r="W10" s="93">
        <v>365.0</v>
      </c>
      <c r="X10" s="94" t="s">
        <v>45</v>
      </c>
      <c r="Y10" s="79">
        <v>365.0</v>
      </c>
      <c r="Z10" s="78" t="s">
        <v>45</v>
      </c>
      <c r="AA10" s="79">
        <v>365.0</v>
      </c>
      <c r="AB10" s="78" t="s">
        <v>45</v>
      </c>
      <c r="AC10" s="79">
        <v>365.0</v>
      </c>
      <c r="AD10" s="78" t="s">
        <v>45</v>
      </c>
      <c r="AE10" s="79">
        <v>365.0</v>
      </c>
      <c r="AF10" s="78" t="s">
        <v>45</v>
      </c>
      <c r="AG10" s="79">
        <v>365.0</v>
      </c>
      <c r="AH10" s="78" t="s">
        <v>45</v>
      </c>
      <c r="AI10" s="79">
        <v>365.0</v>
      </c>
      <c r="AJ10" s="78" t="s">
        <v>45</v>
      </c>
      <c r="AK10" s="79">
        <v>365.0</v>
      </c>
      <c r="AL10" s="80" t="s">
        <v>45</v>
      </c>
      <c r="AM10" s="77">
        <v>365.0</v>
      </c>
      <c r="AN10" s="78" t="s">
        <v>45</v>
      </c>
      <c r="AO10" s="79">
        <v>184.0</v>
      </c>
      <c r="AP10" s="78" t="s">
        <v>46</v>
      </c>
      <c r="AQ10" s="79">
        <v>365.0</v>
      </c>
      <c r="AR10" s="78" t="s">
        <v>45</v>
      </c>
      <c r="AS10" s="79">
        <v>365.0</v>
      </c>
      <c r="AT10" s="78" t="s">
        <v>45</v>
      </c>
      <c r="AU10" s="79">
        <v>1095.0</v>
      </c>
      <c r="AV10" s="82" t="s">
        <v>47</v>
      </c>
      <c r="AW10" s="95">
        <v>365.0</v>
      </c>
      <c r="AX10" s="78" t="s">
        <v>45</v>
      </c>
      <c r="AY10" s="79">
        <v>365.0</v>
      </c>
      <c r="AZ10" s="78" t="s">
        <v>45</v>
      </c>
      <c r="BA10" s="79">
        <v>122.0</v>
      </c>
      <c r="BB10" s="78" t="s">
        <v>48</v>
      </c>
      <c r="BC10" s="79">
        <v>184.0</v>
      </c>
      <c r="BD10" s="78" t="s">
        <v>46</v>
      </c>
      <c r="BE10" s="79">
        <v>184.0</v>
      </c>
      <c r="BF10" s="78" t="s">
        <v>46</v>
      </c>
      <c r="BG10" s="79">
        <v>365.0</v>
      </c>
      <c r="BH10" s="80" t="s">
        <v>45</v>
      </c>
      <c r="BI10" s="81">
        <v>184.0</v>
      </c>
      <c r="BJ10" s="80" t="s">
        <v>46</v>
      </c>
      <c r="BK10" s="22"/>
    </row>
    <row r="11" ht="5.25" hidden="1" customHeight="1" outlineLevel="1">
      <c r="A11" s="103">
        <v>1.0</v>
      </c>
      <c r="B11" s="104" t="s">
        <v>52</v>
      </c>
      <c r="C11" s="105"/>
      <c r="D11" s="106">
        <v>1.0</v>
      </c>
      <c r="E11" s="107">
        <v>1.0</v>
      </c>
      <c r="F11" s="106">
        <v>2.0</v>
      </c>
      <c r="G11" s="108"/>
      <c r="H11" s="109" t="s">
        <v>53</v>
      </c>
      <c r="I11" s="110">
        <v>1.0</v>
      </c>
      <c r="J11" s="111">
        <f>IF(OR(J13=1,J13=2),1,0)</f>
        <v>0</v>
      </c>
      <c r="K11" s="110">
        <v>1.0</v>
      </c>
      <c r="L11" s="111">
        <f>IF(OR(L13=1,L13=2),1,0)</f>
        <v>0</v>
      </c>
      <c r="M11" s="110">
        <v>1.0</v>
      </c>
      <c r="N11" s="112">
        <f>IF(OR(N13=1,N13=2),1,0)</f>
        <v>0</v>
      </c>
      <c r="O11" s="110">
        <v>1.0</v>
      </c>
      <c r="P11" s="111">
        <f>IF(OR(P13=1,P13=2),1,0)</f>
        <v>0</v>
      </c>
      <c r="Q11" s="110">
        <v>1.0</v>
      </c>
      <c r="R11" s="111">
        <f>IF(OR(R13=1,R13=2),1,0)</f>
        <v>0</v>
      </c>
      <c r="S11" s="110">
        <v>1.0</v>
      </c>
      <c r="T11" s="113">
        <f>IF(OR(T13=1,T13=2),1,0)</f>
        <v>0</v>
      </c>
      <c r="U11" s="114"/>
      <c r="V11" s="115"/>
      <c r="W11" s="116"/>
      <c r="X11" s="115"/>
      <c r="Y11" s="114"/>
      <c r="Z11" s="115"/>
      <c r="AA11" s="114"/>
      <c r="AB11" s="115"/>
      <c r="AC11" s="114"/>
      <c r="AD11" s="115"/>
      <c r="AE11" s="114"/>
      <c r="AF11" s="115"/>
      <c r="AG11" s="114"/>
      <c r="AH11" s="115"/>
      <c r="AI11" s="114"/>
      <c r="AJ11" s="115"/>
      <c r="AK11" s="114"/>
      <c r="AL11" s="117"/>
      <c r="AM11" s="118"/>
      <c r="AN11" s="115"/>
      <c r="AO11" s="114"/>
      <c r="AP11" s="115"/>
      <c r="AQ11" s="114"/>
      <c r="AR11" s="115"/>
      <c r="AS11" s="114"/>
      <c r="AT11" s="115"/>
      <c r="AU11" s="114"/>
      <c r="AV11" s="119"/>
      <c r="AW11" s="120"/>
      <c r="AX11" s="115"/>
      <c r="AY11" s="114"/>
      <c r="AZ11" s="115"/>
      <c r="BA11" s="114"/>
      <c r="BB11" s="115"/>
      <c r="BC11" s="114"/>
      <c r="BD11" s="115"/>
      <c r="BE11" s="114"/>
      <c r="BF11" s="115"/>
      <c r="BG11" s="114"/>
      <c r="BH11" s="117"/>
      <c r="BI11" s="121"/>
      <c r="BJ11" s="117"/>
      <c r="BK11" s="22"/>
    </row>
    <row r="12" ht="13.5" hidden="1" customHeight="1" outlineLevel="1">
      <c r="A12" s="23"/>
      <c r="B12" s="24"/>
      <c r="C12" s="122" t="s">
        <v>54</v>
      </c>
      <c r="D12" s="24"/>
      <c r="E12" s="123"/>
      <c r="F12" s="24"/>
      <c r="G12" s="24"/>
      <c r="H12" s="124"/>
      <c r="I12" s="125">
        <f>IF($D11=1,I$8,IF($D11=2,I$9,I$10))</f>
        <v>107</v>
      </c>
      <c r="J12" s="126" t="str">
        <f t="array" ref="J12">IF(MAX(IF((Main!$D$6:$D$798="ДПМУ")*(Main!$B$6:$B$798='Стан БГ'!C12)*(Main!$C$6:$C$798='Стан БГ'!H11),Main!$A$6:$A$798,0),L12,N12,P12,R12,T12)&gt;0,MAX(IF((Main!$D$6:$D$798="ДПМУ")*(Main!$B$6:$B$798='Стан БГ'!C12)*(Main!$C$6:$C$798='Стан БГ'!H11),Main!$A$6:$A$798,0),L12,N12,P12,R12,T12),"")</f>
        <v/>
      </c>
      <c r="K12" s="127">
        <f>IF($D11=1,K$8,IF($D11=2,K$9,K$10))</f>
        <v>92</v>
      </c>
      <c r="L12" s="128" t="str">
        <f t="array" ref="L12">IF(MAX(IF((Main!$D$6:$D$798="ДСМУ")*(Main!$B$6:$B$798='Стан БГ'!C12)*(Main!$C$6:$C$798='Стан БГ'!H11),Main!$A$6:$A$798,0),N12,R12,T12)&gt;0,MAX(IF((Main!$D$6:$D$798="ДСМУ")*(Main!$B$6:$B$798='Стан БГ'!C12)*(Main!$C$6:$C$798='Стан БГ'!H11),Main!$A$6:$A$798,0),N12,R12,T12),"")</f>
        <v/>
      </c>
      <c r="M12" s="127">
        <f>IF($D11=1,M$8,IF($D11=2,M$9,M$10))</f>
        <v>77</v>
      </c>
      <c r="N12" s="129" t="str">
        <f t="array" ref="N12">IF(MAX(IF((Main!$D$6:$D$798="ДВМП")*(Main!$B$6:$B$798='Стан БГ'!C12)*(Main!$C$6:$C$798='Стан БГ'!H11),Main!$A$6:$A$798,0),T12)&gt;0,MAX(IF((Main!$D$6:$D$798="ДВМП")*(Main!$B$6:$B$798='Стан БГ'!C12)*(Main!$C$6:$C$798='Стан БГ'!H11),Main!$A$6:$A$798,0),T12),"")</f>
        <v/>
      </c>
      <c r="O12" s="127">
        <f>IF($D11=1,O$8,IF($D11=2,O$9,O$10))</f>
        <v>92</v>
      </c>
      <c r="P12" s="129" t="str">
        <f t="array" ref="P12">IF(MAX(IF((Main!$D$6:$D$798="НПМУ")*(Main!$B$6:$B$798='Стан БГ'!C12)*(Main!$C$6:$C$798='Стан БГ'!H11),Main!$A$6:$A$798,0),R12,T12)&gt;0,MAX(IF((Main!$D$6:$D$798="НПМУ")*(Main!$B$6:$B$798='Стан БГ'!C12)*(Main!$C$6:$C$798='Стан БГ'!H11),Main!$A$6:$A$798,0),R12,T12),"")</f>
        <v/>
      </c>
      <c r="Q12" s="127">
        <f>IF($D11=1,Q$8,IF($D11=2,Q$9,Q$10))</f>
        <v>77</v>
      </c>
      <c r="R12" s="129" t="str">
        <f t="array" ref="R12">IF(MAX(IF((Main!$D$6:$D$798="НСМУ")*(Main!$B$6:$B$798='Стан БГ'!C12)*(Main!$C$6:$C$798='Стан БГ'!H11),Main!$A$6:$A$798,0),T12)&gt;0,MAX(IF((Main!$D$6:$D$798="НСМУ")*(Main!$B$6:$B$798='Стан БГ'!C12)*(Main!$C$6:$C$798='Стан БГ'!H11),Main!$A$6:$A$798,0),T12),"")</f>
        <v/>
      </c>
      <c r="S12" s="127">
        <f>IF($D11=1,S$8,IF($D11=2,S$9,S$10))</f>
        <v>61</v>
      </c>
      <c r="T12" s="130" t="str">
        <f t="array" ref="T12">IF(MAX(IF((Main!$D$6:$D$798="НВМП")*(Main!$B$6:$B$798='Стан БГ'!C12)*(Main!$C$6:$C$798='Стан БГ'!H11),Main!$A$6:$A$798,0))&gt;0,MAX(IF((Main!$D$6:$D$798="НВМП")*(Main!$B$6:$B$798='Стан БГ'!C12)*(Main!$C$6:$C$798='Стан БГ'!H11),Main!$A$6:$A$798,0)),"")</f>
        <v/>
      </c>
      <c r="U12" s="131">
        <f>IF($D11=1,U$8,IF($D11=2,U$9,IF($D11=3,U$10)))</f>
        <v>365</v>
      </c>
      <c r="V12" s="132">
        <v>45777.0</v>
      </c>
      <c r="W12" s="133">
        <f>IF($D11=1,W$8,IF($D11=2,W$9,IF($D11=3,W$10)))</f>
        <v>365</v>
      </c>
      <c r="X12" s="134">
        <v>45763.0</v>
      </c>
      <c r="Y12" s="135">
        <f>IF($D11=1,Y$8,IF($D11=2,Y$9,IF($D11=3,Y$10)))</f>
        <v>365</v>
      </c>
      <c r="Z12" s="134">
        <v>45758.0</v>
      </c>
      <c r="AA12" s="135">
        <f>IF($D11=1,AA$8,IF($D11=2,AA$9,IF($D11=3,AA$10)))</f>
        <v>365</v>
      </c>
      <c r="AB12" s="134">
        <v>45758.0</v>
      </c>
      <c r="AC12" s="135">
        <f>IF($D11=1,AC$8,IF($D11=2,AC$9,IF($D11=3,AC$10)))</f>
        <v>365</v>
      </c>
      <c r="AD12" s="134">
        <v>45758.0</v>
      </c>
      <c r="AE12" s="135">
        <f>IF($D11=1,AE$8,IF($D11=2,AE$9,IF($D11=3,AE$10)))</f>
        <v>365</v>
      </c>
      <c r="AF12" s="134">
        <v>45683.0</v>
      </c>
      <c r="AG12" s="135">
        <f>IF($D11=1,AG$8,IF($D11=2,AG$9,IF($D11=3,AG$10)))</f>
        <v>365</v>
      </c>
      <c r="AH12" s="134">
        <v>45683.0</v>
      </c>
      <c r="AI12" s="135">
        <f>IF($D11=1,AI$8,IF($D11=2,AI$9,IF($D11=3,AI$10)))</f>
        <v>365</v>
      </c>
      <c r="AJ12" s="134">
        <v>45776.0</v>
      </c>
      <c r="AK12" s="135">
        <f>IF($D11=1,AK$8,IF($D11=2,AK$9,IF($D11=3,AK$10)))</f>
        <v>365</v>
      </c>
      <c r="AL12" s="136"/>
      <c r="AM12" s="137">
        <f>IF($D11=1,AM$8,IF($D11=2,AM$9,IF($D11=3,AM$10)))</f>
        <v>365</v>
      </c>
      <c r="AN12" s="134">
        <v>45623.0</v>
      </c>
      <c r="AO12" s="131">
        <f>IF($D11=1,AO$8,IF($D11=2,AO$9,IF($D11=3,AO$10)))</f>
        <v>184</v>
      </c>
      <c r="AP12" s="138">
        <v>45747.0</v>
      </c>
      <c r="AQ12" s="131">
        <f>IF($D11=1,AQ$8,IF($D11=2,AQ$9,IF($D11=3,AQ$10)))</f>
        <v>365</v>
      </c>
      <c r="AR12" s="138">
        <v>45561.0</v>
      </c>
      <c r="AS12" s="131">
        <f>IF($D11=1,AS$8,IF($D11=2,AS$9,IF($D11=3,AS$10)))</f>
        <v>365</v>
      </c>
      <c r="AT12" s="139">
        <v>45672.0</v>
      </c>
      <c r="AU12" s="131">
        <f>IF($D11=1,AU$8,IF($D11=2,AU$9,IF($D11=3,AU$10)))</f>
        <v>1095</v>
      </c>
      <c r="AV12" s="140">
        <v>45756.0</v>
      </c>
      <c r="AW12" s="141">
        <f>IF($D11=1,AW$8,IF($D11=2,AW$9,IF($D11=3,AW$10)))</f>
        <v>365</v>
      </c>
      <c r="AX12" s="139" t="str">
        <f t="array" ref="AX12">IF(MAX(IF((ISNUMBER(SEARCH("Складний пілотаж",Main!$M$6:$M$798)))*(Main!$B$6:$B$798='Стан БГ'!C12),Main!$A$6:$A$798,0))&gt;0,MAX(IF((ISNUMBER(SEARCH("Складний пілотаж",Main!$M$6:$M$798)))*(Main!$B$6:$B$798='Стан БГ'!C12),Main!$A$6:$A$798,0)),"")</f>
        <v/>
      </c>
      <c r="AY12" s="131">
        <f>IF($D11=1,AY$8,IF($D11=2,AY$9,IF($D11=3,AY$10)))</f>
        <v>365</v>
      </c>
      <c r="AZ12" s="139" t="str">
        <f t="array" ref="AZ12">IF(MAX(IF((ISNUMBER(SEARCH("Мала висота",Main!$M$6:$M$798)))*(Main!$B$6:$B$798='Стан БГ'!C12),Main!$A$6:$A$798,0))&gt;0,MAX(IF((ISNUMBER(SEARCH("Мала висота",Main!$M$6:$M$798)))*(Main!$B$6:$B$798='Стан БГ'!C12),Main!$A$6:$A$798,0)),"")</f>
        <v/>
      </c>
      <c r="BA12" s="131">
        <f>IF($D11=1,BA$8,IF($D11=2,BA$9,IF($D11=3,BA$10)))</f>
        <v>122</v>
      </c>
      <c r="BB12" s="139" t="str">
        <f t="array" ref="BB12">IF(MAX(IF((ISNUMBER(SEARCH("Гр. мала висота (ОНБ)",Main!$M$6:$M$798)))*(Main!$B$6:$B$798='Стан БГ'!C12),Main!$A$6:$A$798,0))&gt;0,MAX(IF((ISNUMBER(SEARCH("Гр. мала висота (ОНБ)",Main!$M$6:$M$798)))*(Main!$B$6:$B$798='Стан БГ'!C12),Main!$A$6:$A$798,0)),"")</f>
        <v/>
      </c>
      <c r="BC12" s="131">
        <f>IF($D11=1,BC$8,IF($D11=2,BC$9,IF($D11=3,BC$10)))</f>
        <v>184</v>
      </c>
      <c r="BD12" s="139" t="str">
        <f t="array" ref="BD12">IF(MAX(IF((ISNUMBER(SEARCH("Бойове застосування",Main!$M$6:$M$798)))*(Main!$B$6:$B$798='Стан БГ'!C12),Main!$A$6:$A$798,0))&gt;0,MAX(IF((ISNUMBER(SEARCH("Бойове застосування",Main!$M$6:$M$798)))*(Main!$B$6:$B$798='Стан БГ'!C12),Main!$A$6:$A$798,0)),"")</f>
        <v/>
      </c>
      <c r="BE12" s="131">
        <f>IF($D11=1,BE$8,IF($D11=2,BE$9,IF($D11=3,BE$10)))</f>
        <v>184</v>
      </c>
      <c r="BF12" s="139" t="str">
        <f t="array" ref="BF12">IF(MAX(IF((ISNUMBER(SEARCH("Групова злітаність",Main!$M$6:$M$798)))*(Main!$B$6:$B$798='Стан БГ'!C12),Main!$A$6:$A$798,0))&gt;0,MAX(IF((ISNUMBER(SEARCH("Групова злітаність",Main!$M$6:$M$798)))*(Main!$B$6:$B$798='Стан БГ'!C12),Main!$A$6:$A$798,0)),"")</f>
        <v/>
      </c>
      <c r="BG12" s="131">
        <f>IF($D11=1,BG$8,IF($D11=2,BG$9,IF($D11=3,BG$10)))</f>
        <v>365</v>
      </c>
      <c r="BH12" s="142" t="str">
        <f t="array" ref="BH12">IF(MAX(IF((ISNUMBER(SEARCH("На десантування",Main!$M$6:$M$798)))*(Main!$B$6:$B$798='Стан БГ'!C12),Main!$A$6:$A$798,0))&gt;0,MAX(IF((ISNUMBER(SEARCH("На десантування",Main!$M$6:$M$798)))*(Main!$B$6:$B$798='Стан БГ'!C12),Main!$A$6:$A$798,0)),"")</f>
        <v/>
      </c>
      <c r="BI12" s="143">
        <f>IF($D11=1,BI$8,IF($D11=2,BI$9,IF($D11=3,BI$10)))</f>
        <v>184</v>
      </c>
      <c r="BJ12" s="142"/>
      <c r="BK12" s="22"/>
    </row>
    <row r="13" ht="3.75" hidden="1" customHeight="1" outlineLevel="1">
      <c r="A13" s="23"/>
      <c r="B13" s="24"/>
      <c r="C13" s="24"/>
      <c r="D13" s="24"/>
      <c r="E13" s="123"/>
      <c r="F13" s="24"/>
      <c r="G13" s="24"/>
      <c r="H13" s="144"/>
      <c r="I13" s="145">
        <f>IF(AND(J11=1,OR($G11="вп",$G11="вд",$G11="шп",$G11="оа")),1,0)</f>
        <v>0</v>
      </c>
      <c r="J13" s="146">
        <f>IF(J12="",0,IF($C$2&lt;(I12+J12)-15,2,IF($C$2&lt;(I12+J12),1,"0")))</f>
        <v>0</v>
      </c>
      <c r="K13" s="147"/>
      <c r="L13" s="148">
        <f>IF(L12="",0,IF($C$2&lt;(K12+L12)-15,2,IF($C$2&lt;(K12+L12),1,"0")))</f>
        <v>0</v>
      </c>
      <c r="M13" s="147"/>
      <c r="N13" s="146">
        <f>IF(N12="",0,IF($C$2&lt;(M12+N12)-15,2,IF($C$2&lt;(M12+N12),1,"0")))</f>
        <v>0</v>
      </c>
      <c r="O13" s="149"/>
      <c r="P13" s="146">
        <f>IF(P12="",0,IF($C$2&lt;(O12+P12)-15,2,IF($C$2&lt;(O12+P12),1,"0")))</f>
        <v>0</v>
      </c>
      <c r="Q13" s="149"/>
      <c r="R13" s="146">
        <f>IF(R12="",0,IF($C$2&lt;(Q12+R12)-15,2,IF($C$2&lt;(Q12+R12),1,"0")))</f>
        <v>0</v>
      </c>
      <c r="S13" s="149"/>
      <c r="T13" s="146">
        <f>IF(T12="",0,IF($C$2&lt;(S12+T12)-15,2,IF($C$2&lt;(S12+T12),1,"0")))</f>
        <v>0</v>
      </c>
      <c r="U13" s="150"/>
      <c r="V13" s="151"/>
      <c r="W13" s="152"/>
      <c r="X13" s="26"/>
      <c r="Y13" s="153"/>
      <c r="Z13" s="26"/>
      <c r="AA13" s="153"/>
      <c r="AB13" s="26"/>
      <c r="AC13" s="153"/>
      <c r="AD13" s="26"/>
      <c r="AE13" s="153"/>
      <c r="AF13" s="26"/>
      <c r="AG13" s="153"/>
      <c r="AH13" s="26"/>
      <c r="AI13" s="153"/>
      <c r="AJ13" s="26"/>
      <c r="AK13" s="153"/>
      <c r="AL13" s="151"/>
      <c r="AM13" s="145"/>
      <c r="AN13" s="26"/>
      <c r="AO13" s="150"/>
      <c r="AP13" s="146" t="str">
        <f>IF(AP12 = "",0,IF($C$2&lt;(AO12+AP12)-15,2,IF($C$2&lt;(AO12+AP12),1,"0")))</f>
        <v>0</v>
      </c>
      <c r="AQ13" s="150"/>
      <c r="AR13" s="146" t="str">
        <f>IF(AR12 = "",0,IF($C$2&lt;(AQ12+AR12)-15,2,IF($C$2&lt;(AQ12+AR12),1,"0")))</f>
        <v>0</v>
      </c>
      <c r="AS13" s="150"/>
      <c r="AT13" s="26"/>
      <c r="AU13" s="150"/>
      <c r="AV13" s="33"/>
      <c r="AW13" s="154"/>
      <c r="AX13" s="26"/>
      <c r="AY13" s="150"/>
      <c r="AZ13" s="26"/>
      <c r="BA13" s="150"/>
      <c r="BB13" s="26"/>
      <c r="BC13" s="150"/>
      <c r="BD13" s="26"/>
      <c r="BE13" s="150"/>
      <c r="BF13" s="26"/>
      <c r="BG13" s="150"/>
      <c r="BI13" s="155"/>
      <c r="BK13" s="22"/>
    </row>
    <row r="14" ht="3.75" hidden="1" customHeight="1" outlineLevel="1">
      <c r="A14" s="23"/>
      <c r="B14" s="24"/>
      <c r="C14" s="24"/>
      <c r="D14" s="24"/>
      <c r="E14" s="123"/>
      <c r="F14" s="24"/>
      <c r="G14" s="24"/>
      <c r="H14" s="156" t="s">
        <v>55</v>
      </c>
      <c r="I14" s="110">
        <v>1.0</v>
      </c>
      <c r="J14" s="115">
        <f>IF(OR(J16=1,J16=2),1,0)</f>
        <v>0</v>
      </c>
      <c r="K14" s="110">
        <v>1.0</v>
      </c>
      <c r="L14" s="157">
        <f>IF(OR(L16=1,L16=2),1,0)</f>
        <v>0</v>
      </c>
      <c r="M14" s="110">
        <v>1.0</v>
      </c>
      <c r="N14" s="117">
        <f>IF(OR(N16=1,N16=2),1,0)</f>
        <v>0</v>
      </c>
      <c r="O14" s="110">
        <v>1.0</v>
      </c>
      <c r="P14" s="115">
        <f>IF(OR(P16=1,P16=2),1,0)</f>
        <v>0</v>
      </c>
      <c r="Q14" s="110">
        <v>1.0</v>
      </c>
      <c r="R14" s="115">
        <f>IF(OR(R16=1,R16=2),1,0)</f>
        <v>0</v>
      </c>
      <c r="S14" s="110">
        <v>1.0</v>
      </c>
      <c r="T14" s="158">
        <f>IF(OR(T16=1,T16=2),1,0)</f>
        <v>0</v>
      </c>
      <c r="U14" s="114"/>
      <c r="V14" s="151"/>
      <c r="W14" s="116"/>
      <c r="X14" s="26"/>
      <c r="Y14" s="159"/>
      <c r="Z14" s="26"/>
      <c r="AA14" s="159"/>
      <c r="AB14" s="26"/>
      <c r="AC14" s="159"/>
      <c r="AD14" s="26"/>
      <c r="AE14" s="159"/>
      <c r="AF14" s="26"/>
      <c r="AG14" s="159"/>
      <c r="AH14" s="26"/>
      <c r="AI14" s="159"/>
      <c r="AJ14" s="26"/>
      <c r="AK14" s="159"/>
      <c r="AL14" s="151"/>
      <c r="AM14" s="118"/>
      <c r="AN14" s="26"/>
      <c r="AO14" s="114"/>
      <c r="AP14" s="115"/>
      <c r="AQ14" s="114"/>
      <c r="AR14" s="115"/>
      <c r="AS14" s="114"/>
      <c r="AT14" s="26"/>
      <c r="AU14" s="114"/>
      <c r="AV14" s="33"/>
      <c r="AW14" s="120"/>
      <c r="AX14" s="26"/>
      <c r="AY14" s="114"/>
      <c r="AZ14" s="26"/>
      <c r="BA14" s="114"/>
      <c r="BB14" s="26"/>
      <c r="BC14" s="114"/>
      <c r="BD14" s="26"/>
      <c r="BE14" s="114"/>
      <c r="BF14" s="26"/>
      <c r="BG14" s="114"/>
      <c r="BI14" s="121"/>
      <c r="BK14" s="22"/>
    </row>
    <row r="15" ht="12.75" hidden="1" customHeight="1" outlineLevel="1">
      <c r="A15" s="23"/>
      <c r="B15" s="24"/>
      <c r="C15" s="24"/>
      <c r="D15" s="24"/>
      <c r="E15" s="123"/>
      <c r="F15" s="24"/>
      <c r="G15" s="24"/>
      <c r="H15" s="124"/>
      <c r="I15" s="125">
        <f>I12</f>
        <v>107</v>
      </c>
      <c r="J15" s="160" t="str">
        <f t="array" ref="J15">IF(MAX(IF((Main!$D$6:$D$798="ДПМУ")*(Main!$B$6:$B$798='Стан БГ'!C12)*(Main!$C$6:$C$798='Стан БГ'!H14),Main!$A$6:$A$798,0),L15,N15,P15,R15,T15)&gt;0,MAX(IF((Main!$D$6:$D$798="ДПМУ")*(Main!$B$6:$B$798='Стан БГ'!C12)*(Main!$C$6:$C$798='Стан БГ'!H14),Main!$A$6:$A$798,0),L15,N15,P15,R15,T15),"")</f>
        <v/>
      </c>
      <c r="K15" s="161">
        <f>K12</f>
        <v>92</v>
      </c>
      <c r="L15" s="162" t="str">
        <f t="array" ref="L15">IF(MAX(IF((Main!$D$6:$D$798="ДСМУ")*(Main!$B$6:$B$798='Стан БГ'!C12)*(Main!$C$6:$C$798='Стан БГ'!H14),Main!$A$6:$A$798,0),N15,R15,T15)&gt;0,MAX(IF((Main!$D$6:$D$798="ДСМУ")*(Main!$B$6:$B$798='Стан БГ'!C12)*(Main!$C$6:$C$798='Стан БГ'!H14),Main!$A$6:$A$798,0),N15,R15,T15),"")</f>
        <v/>
      </c>
      <c r="M15" s="161">
        <f>M12</f>
        <v>77</v>
      </c>
      <c r="N15" s="128" t="str">
        <f t="array" ref="N15">IF(MAX(IF((Main!$D$6:$D$798="ДВМП")*(Main!$B$6:$B$798='Стан БГ'!C12)*(Main!$C$6:$C$798='Стан БГ'!H14),Main!$A$6:$A$798,0),T15)&gt;0,MAX(IF((Main!$D$6:$D$798="ДВМП")*(Main!$B$6:$B$798='Стан БГ'!C12)*(Main!$C$6:$C$798='Стан БГ'!H14),Main!$A$6:$A$798,0),T15),"")</f>
        <v/>
      </c>
      <c r="O15" s="163">
        <f>O12</f>
        <v>92</v>
      </c>
      <c r="P15" s="128" t="str">
        <f t="array" ref="P15">IF(MAX(IF((Main!$D$6:$D$798="НПМУ")*(Main!$B$6:$B$798='Стан БГ'!C12)*(Main!$C$6:$C$798='Стан БГ'!H14),Main!$A$6:$A$798,0),R15,T15)&gt;0,MAX(IF((Main!$D$6:$D$798="НПМУ")*(Main!$B$6:$B$798='Стан БГ'!C12)*(Main!$C$6:$C$798='Стан БГ'!H14),Main!$A$6:$A$798,0),R15,T15),"")</f>
        <v/>
      </c>
      <c r="Q15" s="161">
        <f>Q12</f>
        <v>77</v>
      </c>
      <c r="R15" s="128" t="str">
        <f t="array" ref="R15">IF(MAX(IF((Main!$D$6:$D$798="НСМУ")*(Main!$B$6:$B$798='Стан БГ'!C12)*(Main!$C$6:$C$798='Стан БГ'!H14),Main!$A$6:$A$798,0),T15)&gt;0,MAX(IF((Main!$D$6:$D$798="НСМУ")*(Main!$B$6:$B$798='Стан БГ'!C12)*(Main!$C$6:$C$798='Стан БГ'!H14),Main!$A$6:$A$798,0),T15),"")</f>
        <v/>
      </c>
      <c r="S15" s="161">
        <f>S12</f>
        <v>61</v>
      </c>
      <c r="T15" s="164" t="str">
        <f t="array" ref="T15">IF(MAX(IF((Main!$D$6:$D$798="НВМП")*(Main!$B$6:$B$798='Стан БГ'!C12)*(Main!$C$6:$C$798='Стан БГ'!H14),Main!$A$6:$A$798,0))&gt;0,MAX(IF((Main!$D$6:$D$798="НВМП")*(Main!$B$6:$B$798='Стан БГ'!C12)*(Main!$C$6:$C$798='Стан БГ'!H14),Main!$A$6:$A$798,0)),"")</f>
        <v/>
      </c>
      <c r="U15" s="131">
        <f>U12</f>
        <v>365</v>
      </c>
      <c r="V15" s="151"/>
      <c r="W15" s="133">
        <f>IF($D11=1,W$8,IF($D11=2,W$9,IF($D11=3,W$10)))</f>
        <v>365</v>
      </c>
      <c r="X15" s="26"/>
      <c r="Y15" s="135">
        <f>IF($D11=1,Y$8,IF($D11=2,Y$9,IF($D11=3,Y$10)))</f>
        <v>365</v>
      </c>
      <c r="Z15" s="26"/>
      <c r="AA15" s="135">
        <f>IF($D11=1,AA$8,IF($D11=2,AA$9,IF($D11=3,AA$10)))</f>
        <v>365</v>
      </c>
      <c r="AB15" s="26"/>
      <c r="AC15" s="135">
        <f>IF($D11=1,AC$8,IF($D11=2,AC$9,IF($D11=3,AC$10)))</f>
        <v>365</v>
      </c>
      <c r="AD15" s="26"/>
      <c r="AE15" s="135">
        <f>AE12</f>
        <v>365</v>
      </c>
      <c r="AF15" s="26"/>
      <c r="AG15" s="135">
        <f>AG12</f>
        <v>365</v>
      </c>
      <c r="AH15" s="26"/>
      <c r="AI15" s="135">
        <f>AI12</f>
        <v>365</v>
      </c>
      <c r="AJ15" s="26"/>
      <c r="AK15" s="135">
        <f>AK12</f>
        <v>365</v>
      </c>
      <c r="AL15" s="151"/>
      <c r="AM15" s="137">
        <f>AM12</f>
        <v>365</v>
      </c>
      <c r="AN15" s="26"/>
      <c r="AO15" s="131" t="b">
        <f>IF($D14=1,AO$8,IF($D14=2,AO$9,IF($D14=3,AO$10)))</f>
        <v>0</v>
      </c>
      <c r="AP15" s="138">
        <v>45747.0</v>
      </c>
      <c r="AQ15" s="131" t="b">
        <f>IF($D14=1,AQ$8,IF($D14=2,AQ$9,IF($D14=3,AQ$10)))</f>
        <v>0</v>
      </c>
      <c r="AR15" s="138">
        <v>45733.0</v>
      </c>
      <c r="AS15" s="131" t="b">
        <f>IF($D14=1,AS$8,IF($D14=2,AS$9,IF($D14=3,AS$10)))</f>
        <v>0</v>
      </c>
      <c r="AT15" s="26"/>
      <c r="AU15" s="131" t="b">
        <f>IF($D14=1,AU$8,IF($D14=2,AU$9,IF($D14=3,AU$10)))</f>
        <v>0</v>
      </c>
      <c r="AV15" s="33"/>
      <c r="AW15" s="141">
        <f>IF($D11=1,AW$8,IF($D11=2,AW$9,IF($D11=3,AW$10)))</f>
        <v>365</v>
      </c>
      <c r="AX15" s="26"/>
      <c r="AY15" s="131">
        <f>IF($D11=1,AY$8,IF($D11=2,AY$9,IF($D11=3,AY$10)))</f>
        <v>365</v>
      </c>
      <c r="AZ15" s="26"/>
      <c r="BA15" s="131">
        <f>IF($D11=1,BA$8,IF($D11=2,BA$9,IF($D11=3,BA$10)))</f>
        <v>122</v>
      </c>
      <c r="BB15" s="26"/>
      <c r="BC15" s="131">
        <f>IF($D11=1,BC$8,IF($D11=2,BC$9,IF($D11=3,BC$10)))</f>
        <v>184</v>
      </c>
      <c r="BD15" s="26"/>
      <c r="BE15" s="131">
        <f>BE12</f>
        <v>184</v>
      </c>
      <c r="BF15" s="26"/>
      <c r="BG15" s="131">
        <f>BG12</f>
        <v>365</v>
      </c>
      <c r="BI15" s="143">
        <f>BI12</f>
        <v>184</v>
      </c>
      <c r="BK15" s="22"/>
    </row>
    <row r="16" ht="3.75" hidden="1" customHeight="1" outlineLevel="1">
      <c r="A16" s="165"/>
      <c r="B16" s="166"/>
      <c r="C16" s="167"/>
      <c r="D16" s="166"/>
      <c r="E16" s="168"/>
      <c r="F16" s="166"/>
      <c r="G16" s="166"/>
      <c r="H16" s="169"/>
      <c r="I16" s="145">
        <f>IF(AND(J11=1,OR($G11="вп",$G11="вд",$G11="шп",$G11="оа")),1,0)</f>
        <v>0</v>
      </c>
      <c r="J16" s="146">
        <f>IF(J15="",0,IF($C$2&lt;(I15+J15)-15,2,IF($C$2&lt;(I15+J15),1,"0")))</f>
        <v>0</v>
      </c>
      <c r="K16" s="147"/>
      <c r="L16" s="148">
        <f>IF(L15="",0,IF($C$2&lt;(K15+L15)-15,2,IF($C$2&lt;(K15+L15),1,"0")))</f>
        <v>0</v>
      </c>
      <c r="M16" s="147"/>
      <c r="N16" s="146">
        <f>IF(N15="",0,IF($C$2&lt;(M15+N15)-15,2,IF($C$2&lt;(M15+N15),1,"0")))</f>
        <v>0</v>
      </c>
      <c r="O16" s="149"/>
      <c r="P16" s="146">
        <f>IF(P15="",0,IF($C$2&lt;(O15+P15)-15,2,IF($C$2&lt;(O15+P15),1,"0")))</f>
        <v>0</v>
      </c>
      <c r="Q16" s="149"/>
      <c r="R16" s="146">
        <f>IF(R15="",0,IF($C$2&lt;(Q15+R15)-15,2,IF($C$2&lt;(Q15+R15),1,"0")))</f>
        <v>0</v>
      </c>
      <c r="S16" s="149"/>
      <c r="T16" s="146">
        <f>IF(T15="",0,IF($C$2&lt;(S15+T15)-15,2,IF($C$2&lt;(S15+T15),1,"0")))</f>
        <v>0</v>
      </c>
      <c r="U16" s="147"/>
      <c r="V16" s="146">
        <f>IF(V12 = "",0,IF($C$2&lt;(U12+V12)-15,2,IF($C$2&lt;(U12+V12),1,"0")))</f>
        <v>2</v>
      </c>
      <c r="W16" s="152"/>
      <c r="X16" s="146">
        <f>IF(X12 = "",0,IF($C$2&lt;(W12+X12)-15,2,IF($C$2&lt;(W12+X12),1,"0")))</f>
        <v>2</v>
      </c>
      <c r="Y16" s="147"/>
      <c r="Z16" s="146">
        <f>IF(Z12 = "",0,IF($C$2&lt;(Y12+Z12)-15,2,IF($C$2&lt;(Y12+Z12),1,"0")))</f>
        <v>2</v>
      </c>
      <c r="AA16" s="147"/>
      <c r="AB16" s="146">
        <f>IF(AB12 = "",0,IF($C$2&lt;(AA12+AB12)-15,2,IF($C$2&lt;(AA12+AB12),1,"0")))</f>
        <v>2</v>
      </c>
      <c r="AC16" s="147"/>
      <c r="AD16" s="146">
        <f>IF(AD12 = "",0,IF($C$2&lt;(AC12+AD12)-15,2,IF($C$2&lt;(AC12+AD12),1,"0")))</f>
        <v>2</v>
      </c>
      <c r="AE16" s="147"/>
      <c r="AF16" s="146" t="str">
        <f>IF(AF12 = "",0,IF($C$2&lt;(AE12+AF12)-15,2,IF($C$2&lt;(AE12+AF12),1,"0")))</f>
        <v>0</v>
      </c>
      <c r="AG16" s="147"/>
      <c r="AH16" s="146" t="str">
        <f>IF(AH12 = "",0,IF($C$2&lt;(AG12+AH12)-15,2,IF($C$2&lt;(AG12+AH12),1,"0")))</f>
        <v>0</v>
      </c>
      <c r="AI16" s="147"/>
      <c r="AJ16" s="146">
        <f>IF(AJ12 = "",0,IF($C$2&lt;(AI12+AJ12)-15,2,IF($C$2&lt;(AI12+AJ12),1,"0")))</f>
        <v>2</v>
      </c>
      <c r="AK16" s="147"/>
      <c r="AL16" s="146">
        <f>IF(AL12 = "",0,IF($C$2&lt;(AK12+AL12)-15,2,IF($C$2&lt;(AK12+AL12),1,"0")))</f>
        <v>0</v>
      </c>
      <c r="AM16" s="170"/>
      <c r="AN16" s="146" t="str">
        <f>IF(AN12 = "",0,IF($C$2&lt;(AM12+AN12)-15,2,IF($C$2&lt;(AM12+AN12),1,"0")))</f>
        <v>0</v>
      </c>
      <c r="AO16" s="150"/>
      <c r="AP16" s="146" t="str">
        <f>IF(AP15 = "",0,IF($C$2&lt;(AO12+AP15)-15,2,IF($C$2&lt;(AO12+AP15),1,"0")))</f>
        <v>0</v>
      </c>
      <c r="AQ16" s="150"/>
      <c r="AR16" s="146">
        <f>IF(AR15 = "",0,IF($C$2&lt;(AQ12+AR15)-15,2,IF($C$2&lt;(AQ12+AR15),1,"0")))</f>
        <v>2</v>
      </c>
      <c r="AS16" s="150"/>
      <c r="AT16" s="146" t="str">
        <f>IF(AT12 = "",0,IF($C$2&lt;(AS12+AT12)-15,2,IF($C$2&lt;(AS12+AT12),1,"0")))</f>
        <v>0</v>
      </c>
      <c r="AU16" s="150"/>
      <c r="AV16" s="171">
        <f>IF(AV12 = "",0,IF($C$2&lt;(AU12+AV12)-15,2,IF($C$2&lt;(AU12+AV12),1,"0")))</f>
        <v>2</v>
      </c>
      <c r="AW16" s="154"/>
      <c r="AX16" s="146">
        <f>IF(AX12 = "",0,IF($C$2&lt;(AW12+AX12)-15,2,IF($C$2&lt;(AW12+AX12),1,"0")))</f>
        <v>0</v>
      </c>
      <c r="AY16" s="147"/>
      <c r="AZ16" s="146">
        <f>IF(AZ12 = "",0,IF($C$2&lt;(AY12+AZ12)-15,2,IF($C$2&lt;(AY12+AZ12),1,"0")))</f>
        <v>0</v>
      </c>
      <c r="BA16" s="147"/>
      <c r="BB16" s="146">
        <f>IF(BB12 = "",0,IF($C$2&lt;(BA12+BB12)-15,2,IF($C$2&lt;(BA12+BB12),1,"0")))</f>
        <v>0</v>
      </c>
      <c r="BC16" s="147"/>
      <c r="BD16" s="146">
        <f>IF(BD12 = "",0,IF($C$2&lt;(BC12+BD12)-15,2,IF($C$2&lt;(BC12+BD12),1,"0")))</f>
        <v>0</v>
      </c>
      <c r="BE16" s="147"/>
      <c r="BF16" s="146">
        <f>IF(BF12 = "",0,IF($C$2&lt;(BE12+BF12)-15,2,IF($C$2&lt;(BE12+BF12),1,"0")))</f>
        <v>0</v>
      </c>
      <c r="BG16" s="147"/>
      <c r="BH16" s="172">
        <f>IF(BH12 = "",0,IF($C$2&lt;(BG12+BH12)-15,2,IF($C$2&lt;(BG12+BH12),1,"0")))</f>
        <v>0</v>
      </c>
      <c r="BI16" s="173"/>
      <c r="BJ16" s="172">
        <f>IF(BJ12 = "",0,IF($C$2&lt;(BI12+BJ12)-15,2,IF($C$2&lt;(BI12+BJ12),1,"0")))</f>
        <v>0</v>
      </c>
      <c r="BK16" s="22"/>
    </row>
    <row r="17" ht="5.25" hidden="1" customHeight="1" outlineLevel="1">
      <c r="A17" s="103">
        <v>2.0</v>
      </c>
      <c r="B17" s="104" t="s">
        <v>56</v>
      </c>
      <c r="C17" s="174"/>
      <c r="D17" s="106">
        <v>2.0</v>
      </c>
      <c r="E17" s="107">
        <v>1.0</v>
      </c>
      <c r="F17" s="106">
        <v>3.0</v>
      </c>
      <c r="G17" s="108"/>
      <c r="H17" s="109" t="s">
        <v>57</v>
      </c>
      <c r="I17" s="110">
        <v>1.0</v>
      </c>
      <c r="J17" s="111">
        <f>IF(OR(J19=1,J19=2),1,0)</f>
        <v>0</v>
      </c>
      <c r="K17" s="110">
        <v>1.0</v>
      </c>
      <c r="L17" s="175">
        <f>IF(OR(L19=1,L19=2),1,0)</f>
        <v>0</v>
      </c>
      <c r="M17" s="110">
        <v>1.0</v>
      </c>
      <c r="N17" s="112">
        <f>IF(OR(N19=1,N19=2),1,0)</f>
        <v>0</v>
      </c>
      <c r="O17" s="110">
        <v>1.0</v>
      </c>
      <c r="P17" s="111">
        <f>IF(OR(P19=1,P19=2),1,0)</f>
        <v>0</v>
      </c>
      <c r="Q17" s="110">
        <v>1.0</v>
      </c>
      <c r="R17" s="111">
        <f>IF(OR(R19=1,R19=2),1,0)</f>
        <v>0</v>
      </c>
      <c r="S17" s="110">
        <v>1.0</v>
      </c>
      <c r="T17" s="113">
        <f>IF(OR(T19=1,T19=2),1,0)</f>
        <v>0</v>
      </c>
      <c r="U17" s="114"/>
      <c r="V17" s="115"/>
      <c r="W17" s="116"/>
      <c r="X17" s="115"/>
      <c r="Y17" s="114"/>
      <c r="Z17" s="115"/>
      <c r="AA17" s="114"/>
      <c r="AB17" s="115"/>
      <c r="AC17" s="114"/>
      <c r="AD17" s="115"/>
      <c r="AE17" s="114"/>
      <c r="AF17" s="115"/>
      <c r="AG17" s="114"/>
      <c r="AH17" s="115"/>
      <c r="AI17" s="114"/>
      <c r="AJ17" s="115"/>
      <c r="AK17" s="114"/>
      <c r="AL17" s="117"/>
      <c r="AM17" s="118"/>
      <c r="AN17" s="115"/>
      <c r="AO17" s="114"/>
      <c r="AP17" s="115"/>
      <c r="AQ17" s="114"/>
      <c r="AR17" s="115"/>
      <c r="AS17" s="114"/>
      <c r="AT17" s="115"/>
      <c r="AU17" s="114"/>
      <c r="AV17" s="119"/>
      <c r="AW17" s="120"/>
      <c r="AX17" s="115"/>
      <c r="AY17" s="114"/>
      <c r="AZ17" s="115"/>
      <c r="BA17" s="114"/>
      <c r="BB17" s="115"/>
      <c r="BC17" s="114"/>
      <c r="BD17" s="115"/>
      <c r="BE17" s="114"/>
      <c r="BF17" s="115"/>
      <c r="BG17" s="114"/>
      <c r="BH17" s="117"/>
      <c r="BI17" s="121"/>
      <c r="BJ17" s="117"/>
      <c r="BK17" s="22"/>
    </row>
    <row r="18" ht="12.75" hidden="1" customHeight="1" outlineLevel="1">
      <c r="A18" s="23"/>
      <c r="B18" s="24"/>
      <c r="C18" s="122" t="s">
        <v>58</v>
      </c>
      <c r="D18" s="24"/>
      <c r="E18" s="123"/>
      <c r="F18" s="24"/>
      <c r="G18" s="24"/>
      <c r="H18" s="124"/>
      <c r="I18" s="125">
        <f>IF($D17=1,I$8,IF($D17=2,I$9,I$10))</f>
        <v>92</v>
      </c>
      <c r="J18" s="126" t="str">
        <f t="array" ref="J18">IF(MAX(IF((Main!$D$6:$D$798="ДПМУ")*(Main!$B$6:$B$798='Стан БГ'!C18)*(Main!$C$6:$C$798='Стан БГ'!H17),Main!$A$6:$A$798,0),L18,N18,P18,R18,T18)&gt;0,MAX(IF((Main!$D$6:$D$798="ДПМУ")*(Main!$B$6:$B$798='Стан БГ'!C18)*(Main!$C$6:$C$798='Стан БГ'!H17),Main!$A$6:$A$798,0),L18,N18,P18,R18,T18),"")</f>
        <v/>
      </c>
      <c r="K18" s="127">
        <f>IF($D17=1,K$8,IF($D17=2,K$9,K$10))</f>
        <v>77</v>
      </c>
      <c r="L18" s="128" t="str">
        <f t="array" ref="L18">IF(MAX(IF((Main!$D$6:$D$798="ДСМУ")*(Main!$B$6:$B$798='Стан БГ'!C18)*(Main!$C$6:$C$798='Стан БГ'!H17),Main!$A$6:$A$798,0),N18,R18,T18)&gt;0,MAX(IF((Main!$D$6:$D$798="ДСМУ")*(Main!$B$6:$B$798='Стан БГ'!C18)*(Main!$C$6:$C$798='Стан БГ'!H17),Main!$A$6:$A$798,0),N18,R18,T18),"")</f>
        <v/>
      </c>
      <c r="M18" s="127">
        <f>IF($D17=1,M$8,IF($D17=2,M$9,M$10))</f>
        <v>61</v>
      </c>
      <c r="N18" s="128" t="str">
        <f t="array" ref="N18">IF(MAX(IF((Main!$D$6:$D$798="ДВМП")*(Main!$B$6:$B$798='Стан БГ'!C18)*(Main!$C$6:$C$798='Стан БГ'!H17),Main!$A$6:$A$798,0),T18)&gt;0,MAX(IF((Main!$D$6:$D$798="ДВМП")*(Main!$B$6:$B$798='Стан БГ'!C18)*(Main!$C$6:$C$798='Стан БГ'!H17),Main!$A$6:$A$798,0),T18),"")</f>
        <v/>
      </c>
      <c r="O18" s="127">
        <f>IF($D17=1,O$8,IF($D17=2,O$9,O$10))</f>
        <v>77</v>
      </c>
      <c r="P18" s="129" t="str">
        <f t="array" ref="P18">IF(MAX(IF((Main!$D$6:$D$798="НПМУ")*(Main!$B$6:$B$798='Стан БГ'!C18)*(Main!$C$6:$C$798='Стан БГ'!H17),Main!$A$6:$A$798,0),R18,T18)&gt;0,MAX(IF((Main!$D$6:$D$798="НПМУ")*(Main!$B$6:$B$798='Стан БГ'!C18)*(Main!$C$6:$C$798='Стан БГ'!H17),Main!$A$6:$A$798,0),R18,T18),"")</f>
        <v/>
      </c>
      <c r="Q18" s="127">
        <f>IF($D17=1,Q$8,IF($D17=2,Q$9,Q$10))</f>
        <v>61</v>
      </c>
      <c r="R18" s="129" t="str">
        <f t="array" ref="R18">IF(MAX(IF((Main!$D$6:$D$798="НСМУ")*(Main!$B$6:$B$798='Стан БГ'!C18)*(Main!$C$6:$C$798='Стан БГ'!H17),Main!$A$6:$A$798,0),T18)&gt;0,MAX(IF((Main!$D$6:$D$798="НСМУ")*(Main!$B$6:$B$798='Стан БГ'!C18)*(Main!$C$6:$C$798='Стан БГ'!H17),Main!$A$6:$A$798,0),T18),"")</f>
        <v/>
      </c>
      <c r="S18" s="127">
        <f>IF($D17=1,S$8,IF($D17=2,S$9,S$10))</f>
        <v>46</v>
      </c>
      <c r="T18" s="164" t="str">
        <f t="array" ref="T18">IF(MAX(IF((Main!$D$6:$D$798="НВМП")*(Main!$B$6:$B$798='Стан БГ'!C18)*(Main!$C$6:$C$798='Стан БГ'!H17),Main!$A$6:$A$798,0))&gt;0,MAX(IF((Main!$D$6:$D$798="НВМП")*(Main!$B$6:$B$798='Стан БГ'!C18)*(Main!$C$6:$C$798='Стан БГ'!H17),Main!$A$6:$A$798,0)),"")</f>
        <v/>
      </c>
      <c r="U18" s="131">
        <f>IF($D17=1,U$8,IF($D17=2,U$9,IF($D17=3,U$10)))</f>
        <v>365</v>
      </c>
      <c r="V18" s="139">
        <v>45706.0</v>
      </c>
      <c r="W18" s="133">
        <f>IF($D17=1,W$8,IF($D17=2,W$9,IF($D17=3,W$10)))</f>
        <v>365</v>
      </c>
      <c r="X18" s="134">
        <v>45701.0</v>
      </c>
      <c r="Y18" s="135">
        <f>IF($D17=1,Y$8,IF($D17=2,Y$9,IF($D17=3,Y$10)))</f>
        <v>365</v>
      </c>
      <c r="Z18" s="134">
        <v>45702.0</v>
      </c>
      <c r="AA18" s="135">
        <f>IF($D17=1,AA$8,IF($D17=2,AA$9,IF($D17=3,AA$10)))</f>
        <v>365</v>
      </c>
      <c r="AB18" s="134">
        <v>45426.0</v>
      </c>
      <c r="AC18" s="135">
        <f>IF($D17=1,AC$8,IF($D17=2,AC$9,IF($D17=3,AC$10)))</f>
        <v>365</v>
      </c>
      <c r="AD18" s="134">
        <v>45426.0</v>
      </c>
      <c r="AE18" s="135">
        <f>IF($D17=1,AE$8,IF($D17=2,AE$9,IF($D17=3,AE$10)))</f>
        <v>365</v>
      </c>
      <c r="AF18" s="134">
        <v>45700.0</v>
      </c>
      <c r="AG18" s="135">
        <f>IF($D17=1,AG$8,IF($D17=2,AG$9,IF($D17=3,AG$10)))</f>
        <v>365</v>
      </c>
      <c r="AH18" s="134">
        <v>45710.0</v>
      </c>
      <c r="AI18" s="135">
        <f>IF($D17=1,AI$8,IF($D17=2,AI$9,IF($D17=3,AI$10)))</f>
        <v>365</v>
      </c>
      <c r="AJ18" s="134">
        <v>45351.0</v>
      </c>
      <c r="AK18" s="135">
        <f>IF($D17=1,AK$8,IF($D17=2,AK$9,IF($D17=3,AK$10)))</f>
        <v>365</v>
      </c>
      <c r="AL18" s="176"/>
      <c r="AM18" s="177">
        <f>IF($D17=1,AM$8,IF($D17=2,AM$9,IF($D17=3,AM$10)))</f>
        <v>365</v>
      </c>
      <c r="AN18" s="134">
        <v>45650.0</v>
      </c>
      <c r="AO18" s="131">
        <f>IF($D17=1,AO$8,IF($D17=2,AO$9,IF($D17=3,AO$10)))</f>
        <v>184</v>
      </c>
      <c r="AP18" s="128">
        <v>45747.0</v>
      </c>
      <c r="AQ18" s="135">
        <f>IF($D17=1,AQ$8,IF($D17=2,AQ$9,IF($D17=3,AQ$10)))</f>
        <v>365</v>
      </c>
      <c r="AR18" s="128">
        <v>45708.0</v>
      </c>
      <c r="AS18" s="131">
        <f>IF($D17=1,AS$8,IF($D17=2,AS$9,IF($D17=3,AS$10)))</f>
        <v>365</v>
      </c>
      <c r="AT18" s="134">
        <v>45668.0</v>
      </c>
      <c r="AU18" s="135">
        <f>IF($D17=1,AU$8,IF($D17=2,AU$9,IF($D17=3,AU$10)))</f>
        <v>1095</v>
      </c>
      <c r="AV18" s="178">
        <v>45752.0</v>
      </c>
      <c r="AW18" s="179">
        <f>IF($D17=1,AW$8,IF($D17=2,AW$9,IF($D17=3,AW$10)))</f>
        <v>365</v>
      </c>
      <c r="AX18" s="134" t="str">
        <f t="array" ref="AX18">IF(MAX(IF((ISNUMBER(SEARCH("Складний пілотаж",Main!$M$6:$M$798)))*(Main!$B$6:$B$798='Стан БГ'!C18),Main!$A$6:$A$798,0))&gt;0,MAX(IF((ISNUMBER(SEARCH("Складний пілотаж",Main!$M$6:$M$798)))*(Main!$B$6:$B$798='Стан БГ'!C18),Main!$A$6:$A$798,0)),"07.02.2024")</f>
        <v>07.02.2024</v>
      </c>
      <c r="AY18" s="135">
        <f>IF($D17=1,AY$8,IF($D17=2,AY$9,IF($D17=3,AY$10)))</f>
        <v>365</v>
      </c>
      <c r="AZ18" s="134" t="str">
        <f t="array" ref="AZ18">IF(MAX(IF((ISNUMBER(SEARCH("Мала висота",Main!$M$6:$M$798)))*(Main!$B$6:$B$798='Стан БГ'!C18),Main!$A$6:$A$798,0))&gt;0,MAX(IF((ISNUMBER(SEARCH("Мала висота",Main!$M$6:$M$798)))*(Main!$B$6:$B$798='Стан БГ'!C18),Main!$A$6:$A$798,0)),"28.04.2025")</f>
        <v>28.04.2025</v>
      </c>
      <c r="BA18" s="135">
        <f>IF($D17=1,BA$8,IF($D17=2,BA$9,IF($D17=3,BA$10)))</f>
        <v>122</v>
      </c>
      <c r="BB18" s="134" t="str">
        <f t="array" ref="BB18">IF(MAX(IF((ISNUMBER(SEARCH("Гр. мала висота (ОНБ)",Main!$M$6:$M$798)))*(Main!$B$6:$B$798='Стан БГ'!C18),Main!$A$6:$A$798,0))&gt;0,MAX(IF((ISNUMBER(SEARCH("Гр. мала висота (ОНБ)",Main!$M$6:$M$798)))*(Main!$B$6:$B$798='Стан БГ'!C18),Main!$A$6:$A$798,0)),"07.02.2024")</f>
        <v>07.02.2024</v>
      </c>
      <c r="BC18" s="135">
        <f>IF($D17=1,BC$8,IF($D17=2,BC$9,IF($D17=3,BC$10)))</f>
        <v>184</v>
      </c>
      <c r="BD18" s="134" t="str">
        <f t="array" ref="BD18">IF(MAX(IF((ISNUMBER(SEARCH("Бойове застосування",Main!$M$6:$M$798)))*(Main!$B$6:$B$798='Стан БГ'!C18),Main!$A$6:$A$798,0))&gt;0,MAX(IF((ISNUMBER(SEARCH("Бойове застосування",Main!$M$6:$M$798)))*(Main!$B$6:$B$798='Стан БГ'!C18),Main!$A$6:$A$798,0)),"28.04.2025")</f>
        <v>28.04.2025</v>
      </c>
      <c r="BE18" s="135">
        <f>IF($D17=1,BE$8,IF($D17=2,BE$9,IF($D17=3,BE$10)))</f>
        <v>184</v>
      </c>
      <c r="BF18" s="134" t="str">
        <f t="array" ref="BF18">IF(MAX(IF((ISNUMBER(SEARCH("Групова злітаність",Main!$M$6:$M$798)))*(Main!$B$6:$B$798='Стан БГ'!C18),Main!$A$6:$A$798,0))&gt;0,MAX(IF((ISNUMBER(SEARCH("Групова злітаність",Main!$M$6:$M$798)))*(Main!$B$6:$B$798='Стан БГ'!C18),Main!$A$6:$A$798,0)),"07.02.2024")</f>
        <v>07.02.2024</v>
      </c>
      <c r="BG18" s="135">
        <f>IF($D17=1,BG$8,IF($D17=2,BG$9,IF($D17=3,BG$10)))</f>
        <v>365</v>
      </c>
      <c r="BH18" s="176" t="str">
        <f t="array" ref="BH18">IF(MAX(IF((ISNUMBER(SEARCH("На десантування",Main!$M$6:$M$798)))*(Main!$B$6:$B$798='Стан БГ'!C18),Main!$A$6:$A$798,0))&gt;0,MAX(IF((ISNUMBER(SEARCH("На десантування",Main!$M$6:$M$798)))*(Main!$B$6:$B$798='Стан БГ'!C18),Main!$A$6:$A$798,0)),"")</f>
        <v/>
      </c>
      <c r="BI18" s="143">
        <f>IF($D17=1,BI$8,IF($D17=2,BI$9,IF($D17=3,BI$10)))</f>
        <v>184</v>
      </c>
      <c r="BJ18" s="142"/>
      <c r="BK18" s="22"/>
    </row>
    <row r="19" ht="4.5" hidden="1" customHeight="1" outlineLevel="1">
      <c r="A19" s="23"/>
      <c r="B19" s="24"/>
      <c r="C19" s="24"/>
      <c r="D19" s="24"/>
      <c r="E19" s="123"/>
      <c r="F19" s="24"/>
      <c r="G19" s="24"/>
      <c r="H19" s="144"/>
      <c r="I19" s="145">
        <f>IF(AND(J17=1,OR($G17="вп",$G17="вд",$G17="шп",$G17="оа")),1,0)</f>
        <v>0</v>
      </c>
      <c r="J19" s="146">
        <f>IF(J18="",0,IF($C$2&lt;(I18+J18)-15,2,IF($C$2&lt;(I18+J18),1,"0")))</f>
        <v>0</v>
      </c>
      <c r="K19" s="147"/>
      <c r="L19" s="148">
        <f>IF(L18="",0,IF($C$2&lt;(K18+L18)-15,2,IF($C$2&lt;(K18+L18),1,"0")))</f>
        <v>0</v>
      </c>
      <c r="M19" s="147"/>
      <c r="N19" s="146">
        <f>IF(N18="",0,IF($C$2&lt;(M18+N18)-15,2,IF($C$2&lt;(M18+N18),1,"0")))</f>
        <v>0</v>
      </c>
      <c r="O19" s="149"/>
      <c r="P19" s="146">
        <f>IF(P18="",0,IF($C$2&lt;(O18+P18)-15,2,IF($C$2&lt;(O18+P18),1,"0")))</f>
        <v>0</v>
      </c>
      <c r="Q19" s="149"/>
      <c r="R19" s="146">
        <f>IF(R18="",0,IF($C$2&lt;(Q18+R18)-15,2,IF($C$2&lt;(Q18+R18),1,"0")))</f>
        <v>0</v>
      </c>
      <c r="S19" s="149"/>
      <c r="T19" s="146">
        <f>IF(T18="",0,IF($C$2&lt;(S18+T18)-15,2,IF($C$2&lt;(S18+T18),1,"0")))</f>
        <v>0</v>
      </c>
      <c r="U19" s="150"/>
      <c r="V19" s="26"/>
      <c r="W19" s="152"/>
      <c r="X19" s="26"/>
      <c r="Y19" s="153"/>
      <c r="Z19" s="26"/>
      <c r="AA19" s="153"/>
      <c r="AB19" s="26"/>
      <c r="AC19" s="153"/>
      <c r="AD19" s="26"/>
      <c r="AE19" s="153"/>
      <c r="AF19" s="26"/>
      <c r="AG19" s="153"/>
      <c r="AH19" s="26"/>
      <c r="AI19" s="153"/>
      <c r="AJ19" s="26"/>
      <c r="AK19" s="153"/>
      <c r="AM19" s="180"/>
      <c r="AN19" s="26"/>
      <c r="AO19" s="150"/>
      <c r="AP19" s="146" t="str">
        <f>IF(AP18 = "",0,IF($C$2&lt;(AO18+AP18)-15,2,IF($C$2&lt;(AO18+AP18),1,"0")))</f>
        <v>0</v>
      </c>
      <c r="AQ19" s="150"/>
      <c r="AR19" s="146">
        <f>IF(AR18 = "",0,IF($C$2&lt;(AQ18+AR18)-15,2,IF($C$2&lt;(AQ18+AR18),1,"0")))</f>
        <v>1</v>
      </c>
      <c r="AS19" s="150"/>
      <c r="AT19" s="26"/>
      <c r="AU19" s="153"/>
      <c r="AV19" s="33"/>
      <c r="AW19" s="181"/>
      <c r="AX19" s="26"/>
      <c r="AY19" s="153"/>
      <c r="AZ19" s="26"/>
      <c r="BA19" s="153"/>
      <c r="BB19" s="26"/>
      <c r="BC19" s="153"/>
      <c r="BD19" s="26"/>
      <c r="BE19" s="153"/>
      <c r="BF19" s="26"/>
      <c r="BG19" s="153"/>
      <c r="BI19" s="155"/>
      <c r="BK19" s="22"/>
    </row>
    <row r="20" ht="4.5" hidden="1" customHeight="1" outlineLevel="1">
      <c r="A20" s="23"/>
      <c r="B20" s="24"/>
      <c r="C20" s="24"/>
      <c r="D20" s="24"/>
      <c r="E20" s="123"/>
      <c r="F20" s="24"/>
      <c r="G20" s="24"/>
      <c r="H20" s="156" t="s">
        <v>59</v>
      </c>
      <c r="I20" s="110">
        <v>1.0</v>
      </c>
      <c r="J20" s="146">
        <v>0.0</v>
      </c>
      <c r="K20" s="147"/>
      <c r="L20" s="148">
        <v>0.0</v>
      </c>
      <c r="M20" s="147"/>
      <c r="N20" s="146">
        <v>0.0</v>
      </c>
      <c r="O20" s="149"/>
      <c r="P20" s="146">
        <v>0.0</v>
      </c>
      <c r="Q20" s="149"/>
      <c r="R20" s="146">
        <v>0.0</v>
      </c>
      <c r="S20" s="149"/>
      <c r="T20" s="146">
        <v>0.0</v>
      </c>
      <c r="U20" s="114"/>
      <c r="V20" s="26"/>
      <c r="W20" s="116"/>
      <c r="X20" s="26"/>
      <c r="Y20" s="159"/>
      <c r="Z20" s="26"/>
      <c r="AA20" s="159"/>
      <c r="AB20" s="26"/>
      <c r="AC20" s="159"/>
      <c r="AD20" s="26"/>
      <c r="AE20" s="159"/>
      <c r="AF20" s="26"/>
      <c r="AG20" s="159"/>
      <c r="AH20" s="26"/>
      <c r="AI20" s="159"/>
      <c r="AJ20" s="26"/>
      <c r="AK20" s="159"/>
      <c r="AM20" s="182"/>
      <c r="AN20" s="26"/>
      <c r="AO20" s="114"/>
      <c r="AP20" s="115"/>
      <c r="AQ20" s="114"/>
      <c r="AR20" s="115"/>
      <c r="AS20" s="114"/>
      <c r="AT20" s="26"/>
      <c r="AU20" s="159"/>
      <c r="AV20" s="33"/>
      <c r="AW20" s="183"/>
      <c r="AX20" s="26"/>
      <c r="AY20" s="159"/>
      <c r="AZ20" s="26"/>
      <c r="BA20" s="159"/>
      <c r="BB20" s="26"/>
      <c r="BC20" s="159"/>
      <c r="BD20" s="26"/>
      <c r="BE20" s="159"/>
      <c r="BF20" s="26"/>
      <c r="BG20" s="159"/>
      <c r="BI20" s="121"/>
      <c r="BK20" s="22"/>
    </row>
    <row r="21" ht="13.5" hidden="1" customHeight="1" outlineLevel="1">
      <c r="A21" s="23"/>
      <c r="B21" s="24"/>
      <c r="C21" s="24"/>
      <c r="D21" s="24"/>
      <c r="E21" s="123"/>
      <c r="F21" s="24"/>
      <c r="G21" s="24"/>
      <c r="H21" s="124"/>
      <c r="I21" s="125">
        <f>I18</f>
        <v>92</v>
      </c>
      <c r="J21" s="160" t="str">
        <f t="array" ref="J21">IF(MAX(IF((Main!$D$6:$D$798="ДПМУ")*(Main!$B$6:$B$798='Стан БГ'!C18)*(Main!$C$6:$C$798='Стан БГ'!H20),Main!$A$6:$A$798,0),L21,N21,P21,R21,T21)&gt;0,MAX(IF((Main!$D$6:$D$798="ДПМУ")*(Main!$B$6:$B$798='Стан БГ'!C18)*(Main!$C$6:$C$798='Стан БГ'!H120),Main!$A$6:$A$798,0),L21,N21,P21,R21,T21),"")</f>
        <v/>
      </c>
      <c r="K21" s="161">
        <f>K18</f>
        <v>77</v>
      </c>
      <c r="L21" s="162" t="str">
        <f t="array" ref="L21">IF(MAX(IF((Main!$D$6:$D$798="ДСМУ")*(Main!$B$6:$B$798='Стан БГ'!C18)*(Main!$C$6:$C$798='Стан БГ'!H20),Main!$A$6:$A$798,0),N21,R21,T21)&gt;0,MAX(IF((Main!$D$6:$D$798="ДСМУ")*(Main!$B$6:$B$798='Стан БГ'!C18)*(Main!$C$6:$C$798='Стан БГ'!H120),Main!$A$6:$A$798,0),N21,R21,T21),"")</f>
        <v/>
      </c>
      <c r="M21" s="161">
        <f>M18</f>
        <v>61</v>
      </c>
      <c r="N21" s="128" t="str">
        <f t="array" ref="N21">IF(MAX(IF((Main!$D$6:$D$798="ДВМП")*(Main!$B$6:$B$798='Стан БГ'!C18)*(Main!$C$6:$C$798='Стан БГ'!H20),Main!$A$6:$A$798,0),T21)&gt;0,MAX(IF((Main!$D$6:$D$798="ДВМП")*(Main!$B$6:$B$798='Стан БГ'!C18)*(Main!$C$6:$C$798='Стан БГ'!H120),Main!$A$6:$A$798,0),T21),"")</f>
        <v/>
      </c>
      <c r="O21" s="163">
        <f>O18</f>
        <v>77</v>
      </c>
      <c r="P21" s="128" t="str">
        <f t="array" ref="P21">IF(MAX(IF((Main!$D$6:$D$798="НПМУ")*(Main!$B$6:$B$798='Стан БГ'!C18)*(Main!$C$6:$C$798='Стан БГ'!H20),Main!$A$6:$A$798,0),R21,T21)&gt;0,MAX(IF((Main!$D$6:$D$798="НПМУ")*(Main!$B$6:$B$798='Стан БГ'!C18)*(Main!$C$6:$C$798='Стан БГ'!H120),Main!$A$6:$A$798,0),R21,T21),"")</f>
        <v/>
      </c>
      <c r="Q21" s="161">
        <f>Q18</f>
        <v>61</v>
      </c>
      <c r="R21" s="128" t="str">
        <f t="array" ref="R21">IF(MAX(IF((Main!$D$6:$D$798="НСМУ")*(Main!$B$6:$B$798='Стан БГ'!C18)*(Main!$C$6:$C$798='Стан БГ'!H20),Main!$A$6:$A$798,0),T21)&gt;0,MAX(IF((Main!$D$6:$D$798="НСМУ")*(Main!$B$6:$B$798='Стан БГ'!C18)*(Main!$C$6:$C$798='Стан БГ'!H120),Main!$A$6:$A$798,0),T21),"")</f>
        <v/>
      </c>
      <c r="S21" s="161">
        <f>S18</f>
        <v>46</v>
      </c>
      <c r="T21" s="164" t="str">
        <f t="array" ref="T21">IF(MAX(IF((Main!$D$6:$D$798="НВМП")*(Main!$B$6:$B$798='Стан БГ'!C18)*(Main!$C$6:$C$798='Стан БГ'!H20),Main!$A$6:$A$798,0))&gt;0,MAX(IF((Main!$D$6:$D$798="НВМП")*(Main!$B$6:$B$798='Стан БГ'!C18)*(Main!$C$6:$C$798='Стан БГ'!H120),Main!$A$6:$A$798,0)),"")</f>
        <v/>
      </c>
      <c r="U21" s="131">
        <f>U18</f>
        <v>365</v>
      </c>
      <c r="V21" s="26"/>
      <c r="W21" s="133">
        <f>IF($D17=1,W$8,IF($D17=2,W$9,IF($D17=3,W$10)))</f>
        <v>365</v>
      </c>
      <c r="X21" s="26"/>
      <c r="Y21" s="135">
        <f>IF($D17=1,Y$8,IF($D17=2,Y$9,IF($D17=3,Y$10)))</f>
        <v>365</v>
      </c>
      <c r="Z21" s="26"/>
      <c r="AA21" s="135">
        <f>IF($D17=1,AA$8,IF($D17=2,AA$9,IF($D17=3,AA$10)))</f>
        <v>365</v>
      </c>
      <c r="AB21" s="26"/>
      <c r="AC21" s="135">
        <f>IF($D17=1,AC$8,IF($D17=2,AC$9,IF($D17=3,AC$10)))</f>
        <v>365</v>
      </c>
      <c r="AD21" s="26"/>
      <c r="AE21" s="135">
        <f>AE18</f>
        <v>365</v>
      </c>
      <c r="AF21" s="26"/>
      <c r="AG21" s="135">
        <f>AG18</f>
        <v>365</v>
      </c>
      <c r="AH21" s="26"/>
      <c r="AI21" s="135">
        <f>AI18</f>
        <v>365</v>
      </c>
      <c r="AJ21" s="26"/>
      <c r="AK21" s="135">
        <f>AK18</f>
        <v>365</v>
      </c>
      <c r="AM21" s="177">
        <f>AM18</f>
        <v>365</v>
      </c>
      <c r="AN21" s="26"/>
      <c r="AO21" s="131" t="b">
        <f>IF($D20=1,AO$8,IF($D20=2,AO$9,IF($D20=3,AO$10)))</f>
        <v>0</v>
      </c>
      <c r="AP21" s="128"/>
      <c r="AQ21" s="135" t="b">
        <f>IF($D20=1,AQ$8,IF($D20=2,AQ$9,IF($D20=3,AQ$10)))</f>
        <v>0</v>
      </c>
      <c r="AR21" s="128">
        <v>45524.0</v>
      </c>
      <c r="AS21" s="131" t="b">
        <f>IF($D20=1,AS$8,IF($D20=2,AS$9,IF($D20=3,AS$10)))</f>
        <v>0</v>
      </c>
      <c r="AT21" s="26"/>
      <c r="AU21" s="135" t="b">
        <f>IF($D20=1,AU$8,IF($D20=2,AU$9,IF($D20=3,AU$10)))</f>
        <v>0</v>
      </c>
      <c r="AV21" s="33"/>
      <c r="AW21" s="179">
        <f>IF($D17=1,AW$8,IF($D17=2,AW$9,IF($D17=3,AW$10)))</f>
        <v>365</v>
      </c>
      <c r="AX21" s="26"/>
      <c r="AY21" s="135">
        <f>IF($D17=1,AY$8,IF($D17=2,AY$9,IF($D17=3,AY$10)))</f>
        <v>365</v>
      </c>
      <c r="AZ21" s="26"/>
      <c r="BA21" s="135">
        <f>IF($D17=1,BA$8,IF($D17=2,BA$9,IF($D17=3,BA$10)))</f>
        <v>122</v>
      </c>
      <c r="BB21" s="26"/>
      <c r="BC21" s="135">
        <f>IF($D17=1,BC$8,IF($D17=2,BC$9,IF($D17=3,BC$10)))</f>
        <v>184</v>
      </c>
      <c r="BD21" s="26"/>
      <c r="BE21" s="135">
        <f>BE18</f>
        <v>184</v>
      </c>
      <c r="BF21" s="26"/>
      <c r="BG21" s="135">
        <f>BG18</f>
        <v>365</v>
      </c>
      <c r="BI21" s="143">
        <f>BI18</f>
        <v>184</v>
      </c>
      <c r="BK21" s="22"/>
    </row>
    <row r="22" ht="4.5" hidden="1" customHeight="1" outlineLevel="1">
      <c r="A22" s="59"/>
      <c r="B22" s="60"/>
      <c r="C22" s="167"/>
      <c r="D22" s="60"/>
      <c r="E22" s="168"/>
      <c r="F22" s="60"/>
      <c r="G22" s="60"/>
      <c r="H22" s="144"/>
      <c r="I22" s="145">
        <f>IF(AND(J17=1,OR($G17="вп",$G17="вд",$G17="шп",$G17="оа")),1,0)</f>
        <v>0</v>
      </c>
      <c r="J22" s="146">
        <f>IF(J21="",0,IF($C$2&lt;(I21+J21)-15,2,IF($C$2&lt;(I21+J21),1,"0")))</f>
        <v>0</v>
      </c>
      <c r="K22" s="147"/>
      <c r="L22" s="148">
        <f>IF(L21="",0,IF($C$2&lt;(K21+L21)-15,2,IF($C$2&lt;(K21+L21),1,"0")))</f>
        <v>0</v>
      </c>
      <c r="M22" s="147"/>
      <c r="N22" s="146">
        <f>IF(N21="",0,IF($C$2&lt;(M21+N21)-15,2,IF($C$2&lt;(M21+N21),1,"0")))</f>
        <v>0</v>
      </c>
      <c r="O22" s="149"/>
      <c r="P22" s="146">
        <f>IF(P21="",0,IF($C$2&lt;(O21+P21)-15,2,IF($C$2&lt;(O21+P21),1,"0")))</f>
        <v>0</v>
      </c>
      <c r="Q22" s="149"/>
      <c r="R22" s="146">
        <f>IF(R21="",0,IF($C$2&lt;(Q21+R21)-15,2,IF($C$2&lt;(Q21+R21),1,"0")))</f>
        <v>0</v>
      </c>
      <c r="S22" s="149"/>
      <c r="T22" s="146">
        <f>IF(T21="",0,IF($C$2&lt;(S21+T21)-15,2,IF($C$2&lt;(S21+T21),1,"0")))</f>
        <v>0</v>
      </c>
      <c r="U22" s="147"/>
      <c r="V22" s="146">
        <f>IF(V18 = "",0,IF($C$2&lt;(U18+V18)-15,2,IF($C$2&lt;(U18+V18),1,"0")))</f>
        <v>1</v>
      </c>
      <c r="W22" s="152"/>
      <c r="X22" s="146">
        <f>IF(X18 = "",0,IF($C$2&lt;(W18+X18)-15,2,IF($C$2&lt;(W18+X18),1,"0")))</f>
        <v>1</v>
      </c>
      <c r="Y22" s="147"/>
      <c r="Z22" s="146">
        <f>IF(Z18 = "",0,IF($C$2&lt;(Y18+Z18)-15,2,IF($C$2&lt;(Y18+Z18),1,"0")))</f>
        <v>1</v>
      </c>
      <c r="AA22" s="147"/>
      <c r="AB22" s="146" t="str">
        <f>IF(AB18 = "",0,IF($C$2&lt;(AA18+AB18)-15,2,IF($C$2&lt;(AA18+AB18),1,"0")))</f>
        <v>0</v>
      </c>
      <c r="AC22" s="147"/>
      <c r="AD22" s="146" t="str">
        <f>IF(AD18 = "",0,IF($C$2&lt;(AC18+AD18)-15,2,IF($C$2&lt;(AC18+AD18),1,"0")))</f>
        <v>0</v>
      </c>
      <c r="AE22" s="147"/>
      <c r="AF22" s="146">
        <f>IF(AF18 = "",0,IF($C$2&lt;(AE18+AF18)-15,2,IF($C$2&lt;(AE18+AF18),1,"0")))</f>
        <v>1</v>
      </c>
      <c r="AG22" s="147"/>
      <c r="AH22" s="146">
        <f>IF(AH18 = "",0,IF($C$2&lt;(AG18+AH18)-15,2,IF($C$2&lt;(AG18+AH18),1,"0")))</f>
        <v>2</v>
      </c>
      <c r="AI22" s="147"/>
      <c r="AJ22" s="146" t="str">
        <f>IF(AJ18 = "",0,IF($C$2&lt;(AI18+AJ18)-15,2,IF($C$2&lt;(AI18+AJ18),1,"0")))</f>
        <v>0</v>
      </c>
      <c r="AK22" s="147"/>
      <c r="AL22" s="146">
        <f>IF(AL18 = "",0,IF($C$2&lt;(AK18+AL18)-15,2,IF($C$2&lt;(AK18+AL18),1,"0")))</f>
        <v>0</v>
      </c>
      <c r="AM22" s="170"/>
      <c r="AN22" s="146" t="str">
        <f>IF(AN18 = "",0,IF($C$2&lt;(AM18+AN18)-15,2,IF($C$2&lt;(AM18+AN18),1,"0")))</f>
        <v>0</v>
      </c>
      <c r="AO22" s="150"/>
      <c r="AP22" s="146">
        <f>IF(AP21 = "",0,IF($C$2&lt;(AO18+AP21)-15,2,IF($C$2&lt;(AO18+AP21),1,"0")))</f>
        <v>0</v>
      </c>
      <c r="AQ22" s="150"/>
      <c r="AR22" s="146" t="str">
        <f>IF(AR21 = "",0,IF($C$2&lt;(AQ18+AR21)-15,2,IF($C$2&lt;(AQ18+AR21),1,"0")))</f>
        <v>0</v>
      </c>
      <c r="AS22" s="150"/>
      <c r="AT22" s="146" t="str">
        <f>IF(AT18 = "",0,IF($C$2&lt;(AS18+AT18)-15,2,IF($C$2&lt;(AS18+AT18),1,"0")))</f>
        <v>0</v>
      </c>
      <c r="AU22" s="150"/>
      <c r="AV22" s="171">
        <f>IF(AV18 = "",0,IF($C$2&lt;(AU18+AV18)-15,2,IF($C$2&lt;(AU18+AV18),1,"0")))</f>
        <v>2</v>
      </c>
      <c r="AW22" s="154"/>
      <c r="AX22" s="146" t="str">
        <f>IF(AX18 = "",0,IF($C$2&lt;(AW18+AX18)-15,2,IF($C$2&lt;(AW18+AX18),1,"0")))</f>
        <v>0</v>
      </c>
      <c r="AY22" s="147"/>
      <c r="AZ22" s="146">
        <f>IF(AZ18 = "",0,IF($C$2&lt;(AY18+AZ18)-15,2,IF($C$2&lt;(AY18+AZ18),1,"0")))</f>
        <v>2</v>
      </c>
      <c r="BA22" s="147"/>
      <c r="BB22" s="146" t="str">
        <f>IF(BB18 = "",0,IF($C$2&lt;(BA18+BB18)-15,2,IF($C$2&lt;(BA18+BB18),1,"0")))</f>
        <v>0</v>
      </c>
      <c r="BC22" s="147"/>
      <c r="BD22" s="146" t="str">
        <f>IF(BD18 = "",0,IF($C$2&lt;(BC18+BD18)-15,2,IF($C$2&lt;(BC18+BD18),1,"0")))</f>
        <v>0</v>
      </c>
      <c r="BE22" s="147"/>
      <c r="BF22" s="146" t="str">
        <f>IF(BF18 = "",0,IF($C$2&lt;(BE18+BF18)-15,2,IF($C$2&lt;(BE18+BF18),1,"0")))</f>
        <v>0</v>
      </c>
      <c r="BG22" s="147"/>
      <c r="BH22" s="172">
        <f>IF(BH18 = "",0,IF($C$2&lt;(BG18+BH18)-15,2,IF($C$2&lt;(BG18+BH18),1,"0")))</f>
        <v>0</v>
      </c>
      <c r="BI22" s="173"/>
      <c r="BJ22" s="172">
        <f>IF(BJ18 = "",0,IF($C$2&lt;(BI18+BJ18)-15,2,IF($C$2&lt;(BI18+BJ18),1,"0")))</f>
        <v>0</v>
      </c>
      <c r="BK22" s="22"/>
    </row>
    <row r="23" ht="5.25" hidden="1" customHeight="1" outlineLevel="1">
      <c r="A23" s="103">
        <v>3.0</v>
      </c>
      <c r="B23" s="104" t="s">
        <v>60</v>
      </c>
      <c r="C23" s="174"/>
      <c r="D23" s="106">
        <v>1.0</v>
      </c>
      <c r="E23" s="107">
        <v>1.0</v>
      </c>
      <c r="F23" s="106">
        <v>2.0</v>
      </c>
      <c r="G23" s="108"/>
      <c r="H23" s="109" t="s">
        <v>53</v>
      </c>
      <c r="I23" s="110">
        <v>1.0</v>
      </c>
      <c r="J23" s="111">
        <f>IF(OR(J25=1,J25=2),1,0)</f>
        <v>0</v>
      </c>
      <c r="K23" s="110">
        <v>1.0</v>
      </c>
      <c r="L23" s="175">
        <f>IF(OR(L25=1,L25=2),1,0)</f>
        <v>0</v>
      </c>
      <c r="M23" s="110">
        <v>1.0</v>
      </c>
      <c r="N23" s="112">
        <f>IF(OR(N25=1,N25=2),1,0)</f>
        <v>0</v>
      </c>
      <c r="O23" s="110">
        <v>1.0</v>
      </c>
      <c r="P23" s="111">
        <f>IF(OR(P25=1,P25=2),1,0)</f>
        <v>0</v>
      </c>
      <c r="Q23" s="110">
        <v>1.0</v>
      </c>
      <c r="R23" s="111">
        <f>IF(OR(R25=1,R25=2),1,0)</f>
        <v>0</v>
      </c>
      <c r="S23" s="110">
        <v>1.0</v>
      </c>
      <c r="T23" s="113">
        <f>IF(OR(T25=1,T25=2),1,0)</f>
        <v>0</v>
      </c>
      <c r="U23" s="114"/>
      <c r="V23" s="115"/>
      <c r="W23" s="116"/>
      <c r="X23" s="115"/>
      <c r="Y23" s="114"/>
      <c r="Z23" s="115"/>
      <c r="AA23" s="114"/>
      <c r="AB23" s="115"/>
      <c r="AC23" s="114"/>
      <c r="AD23" s="115"/>
      <c r="AE23" s="114"/>
      <c r="AF23" s="115"/>
      <c r="AG23" s="114"/>
      <c r="AH23" s="115"/>
      <c r="AI23" s="114"/>
      <c r="AJ23" s="115"/>
      <c r="AK23" s="114"/>
      <c r="AL23" s="117"/>
      <c r="AM23" s="118"/>
      <c r="AN23" s="115"/>
      <c r="AO23" s="114"/>
      <c r="AP23" s="115"/>
      <c r="AQ23" s="114"/>
      <c r="AR23" s="115"/>
      <c r="AS23" s="114"/>
      <c r="AT23" s="115"/>
      <c r="AU23" s="114"/>
      <c r="AV23" s="119"/>
      <c r="AW23" s="120"/>
      <c r="AX23" s="115"/>
      <c r="AY23" s="114"/>
      <c r="AZ23" s="115"/>
      <c r="BA23" s="114"/>
      <c r="BB23" s="115"/>
      <c r="BC23" s="114"/>
      <c r="BD23" s="115"/>
      <c r="BE23" s="114"/>
      <c r="BF23" s="115"/>
      <c r="BG23" s="114"/>
      <c r="BH23" s="117"/>
      <c r="BI23" s="121"/>
      <c r="BJ23" s="117"/>
      <c r="BK23" s="22"/>
    </row>
    <row r="24" ht="12.75" hidden="1" customHeight="1" outlineLevel="1">
      <c r="A24" s="23"/>
      <c r="B24" s="24"/>
      <c r="C24" s="122" t="s">
        <v>61</v>
      </c>
      <c r="D24" s="24"/>
      <c r="E24" s="123"/>
      <c r="F24" s="24"/>
      <c r="G24" s="24"/>
      <c r="H24" s="124"/>
      <c r="I24" s="125">
        <f>IF($D23=1,I$8,IF($D23=2,I$9,I$10))</f>
        <v>107</v>
      </c>
      <c r="J24" s="126" t="str">
        <f t="array" ref="J24">IF(MAX(IF((Main!$D$6:$D$798="ДПМУ")*(Main!$B$6:$B$798='Стан БГ'!C24)*(Main!$C$6:$C$798='Стан БГ'!H23),Main!$A$6:$A$798,0),L24,N24,P24,R24,T24)&gt;0,MAX(IF((Main!$D$6:$D$798="ДПМУ")*(Main!$B$6:$B$798='Стан БГ'!C24)*(Main!$C$6:$C$798='Стан БГ'!H23),Main!$A$6:$A$798,0),L24,N24,P24,R24,T24),"")</f>
        <v/>
      </c>
      <c r="K24" s="127">
        <f>IF($D23=1,K$8,IF($D23=2,K$9,K$10))</f>
        <v>92</v>
      </c>
      <c r="L24" s="128" t="str">
        <f t="array" ref="L24">IF(MAX(IF((Main!$D$6:$D$798="ДСМУ")*(Main!$B$6:$B$798='Стан БГ'!C24)*(Main!$C$6:$C$798='Стан БГ'!H23),Main!$A$6:$A$798,0),N24,R24,T24)&gt;0,MAX(IF((Main!$D$6:$D$798="ДСМУ")*(Main!$B$6:$B$798='Стан БГ'!C24)*(Main!$C$6:$C$798='Стан БГ'!H23),Main!$A$6:$A$798,0),N24,R24,T24),"")</f>
        <v/>
      </c>
      <c r="M24" s="127">
        <f>IF($D23=1,M$8,IF($D23=2,M$9,M$10))</f>
        <v>77</v>
      </c>
      <c r="N24" s="128" t="str">
        <f t="array" ref="N24">IF(MAX(IF((Main!$D$6:$D$798="ДВМП")*(Main!$B$6:$B$798='Стан БГ'!C24)*(Main!$C$6:$C$798='Стан БГ'!H23),Main!$A$6:$A$798,0),T24)&gt;0,MAX(IF((Main!$D$6:$D$798="ДВМП")*(Main!$B$6:$B$798='Стан БГ'!C24)*(Main!$C$6:$C$798='Стан БГ'!H23),Main!$A$6:$A$798,0),T24),"")</f>
        <v/>
      </c>
      <c r="O24" s="127">
        <f>IF($D23=1,O$8,IF($D23=2,O$9,O$10))</f>
        <v>92</v>
      </c>
      <c r="P24" s="129" t="str">
        <f t="array" ref="P24">IF(MAX(IF((Main!$D$6:$D$798="НПМУ")*(Main!$B$6:$B$798='Стан БГ'!C24)*(Main!$C$6:$C$798='Стан БГ'!H23),Main!$A$6:$A$798,0),R24,T24)&gt;0,MAX(IF((Main!$D$6:$D$798="НПМУ")*(Main!$B$6:$B$798='Стан БГ'!C24)*(Main!$C$6:$C$798='Стан БГ'!H23),Main!$A$6:$A$798,0),R24,T24),"")</f>
        <v/>
      </c>
      <c r="Q24" s="127">
        <f>IF($D23=1,Q$8,IF($D23=2,Q$9,Q$10))</f>
        <v>77</v>
      </c>
      <c r="R24" s="129" t="str">
        <f t="array" ref="R24">IF(MAX(IF((Main!$D$6:$D$798="НСМУ")*(Main!$B$6:$B$798='Стан БГ'!C24)*(Main!$C$6:$C$798='Стан БГ'!H23),Main!$A$6:$A$798,0),T24)&gt;0,MAX(IF((Main!$D$6:$D$798="НСМУ")*(Main!$B$6:$B$798='Стан БГ'!C24)*(Main!$C$6:$C$798='Стан БГ'!H23),Main!$A$6:$A$798,0),T24),"")</f>
        <v/>
      </c>
      <c r="S24" s="127">
        <f>IF($D23=1,S$8,IF($D23=2,S$9,S$10))</f>
        <v>61</v>
      </c>
      <c r="T24" s="164" t="str">
        <f t="array" ref="T24">IF(MAX(IF((Main!$D$6:$D$798="НВМП")*(Main!$B$6:$B$798='Стан БГ'!C24)*(Main!$C$6:$C$798='Стан БГ'!H23),Main!$A$6:$A$798,0))&gt;0,MAX(IF((Main!$D$6:$D$798="НВМП")*(Main!$B$6:$B$798='Стан БГ'!C24)*(Main!$C$6:$C$798='Стан БГ'!H23),Main!$A$6:$A$798,0)),"")</f>
        <v/>
      </c>
      <c r="U24" s="131">
        <f>IF($D23=1,U$8,IF($D23=2,U$9,IF($D23=3,U$10)))</f>
        <v>365</v>
      </c>
      <c r="V24" s="139">
        <v>45776.0</v>
      </c>
      <c r="W24" s="133">
        <f>IF($D23=1,W$8,IF($D23=2,W$9,IF($D23=3,W$10)))</f>
        <v>365</v>
      </c>
      <c r="X24" s="134">
        <v>45644.0</v>
      </c>
      <c r="Y24" s="135">
        <f>IF($D23=1,Y$8,IF($D23=2,Y$9,IF($D23=3,Y$10)))</f>
        <v>365</v>
      </c>
      <c r="Z24" s="134">
        <v>45692.0</v>
      </c>
      <c r="AA24" s="135">
        <f>IF($D23=1,AA$8,IF($D23=2,AA$9,IF($D23=3,AA$10)))</f>
        <v>365</v>
      </c>
      <c r="AB24" s="134">
        <v>45671.0</v>
      </c>
      <c r="AC24" s="135">
        <f>IF($D23=1,AC$8,IF($D23=2,AC$9,IF($D23=3,AC$10)))</f>
        <v>365</v>
      </c>
      <c r="AD24" s="134">
        <v>45671.0</v>
      </c>
      <c r="AE24" s="135">
        <f>IF($D23=1,AE$8,IF($D23=2,AE$9,IF($D23=3,AE$10)))</f>
        <v>365</v>
      </c>
      <c r="AF24" s="134">
        <v>45693.0</v>
      </c>
      <c r="AG24" s="135">
        <f>IF($D23=1,AG$8,IF($D23=2,AG$9,IF($D23=3,AG$10)))</f>
        <v>365</v>
      </c>
      <c r="AH24" s="134">
        <v>45693.0</v>
      </c>
      <c r="AI24" s="135">
        <f>IF($D23=1,AI$8,IF($D23=2,AI$9,IF($D23=3,AI$10)))</f>
        <v>365</v>
      </c>
      <c r="AJ24" s="134">
        <v>45693.0</v>
      </c>
      <c r="AK24" s="135">
        <f>IF($D23=1,AK$8,IF($D23=2,AK$9,IF($D23=3,AK$10)))</f>
        <v>365</v>
      </c>
      <c r="AL24" s="176"/>
      <c r="AM24" s="177">
        <f>IF($D23=1,AM$8,IF($D23=2,AM$9,IF($D23=3,AM$10)))</f>
        <v>365</v>
      </c>
      <c r="AN24" s="134">
        <v>45649.0</v>
      </c>
      <c r="AO24" s="131">
        <f>IF($D23=1,AO$8,IF($D23=2,AO$9,IF($D23=3,AO$10)))</f>
        <v>184</v>
      </c>
      <c r="AP24" s="128">
        <v>45653.0</v>
      </c>
      <c r="AQ24" s="135">
        <f>IF($D23=1,AQ$8,IF($D23=2,AQ$9,IF($D23=3,AQ$10)))</f>
        <v>365</v>
      </c>
      <c r="AR24" s="128">
        <v>45589.0</v>
      </c>
      <c r="AS24" s="131">
        <f>IF($D23=1,AS$8,IF($D23=2,AS$9,IF($D23=3,AS$10)))</f>
        <v>365</v>
      </c>
      <c r="AT24" s="134">
        <v>45485.0</v>
      </c>
      <c r="AU24" s="135">
        <f>IF($D23=1,AU$8,IF($D23=2,AU$9,IF($D23=3,AU$10)))</f>
        <v>1095</v>
      </c>
      <c r="AV24" s="178">
        <v>45391.0</v>
      </c>
      <c r="AW24" s="179">
        <f>IF($D23=1,AW$8,IF($D23=2,AW$9,IF($D23=3,AW$10)))</f>
        <v>365</v>
      </c>
      <c r="AX24" s="134" t="str">
        <f t="array" ref="AX24">IF(MAX(IF((ISNUMBER(SEARCH("Складний пілотаж",Main!$M$6:$M$798)))*(Main!$B$6:$B$798='Стан БГ'!C24),Main!$A$6:$A$798,0))&gt;0,MAX(IF((ISNUMBER(SEARCH("Складний пілотаж",Main!$M$6:$M$798)))*(Main!$B$6:$B$798='Стан БГ'!C24),Main!$A$6:$A$798,0)),"18.12.2024")</f>
        <v>18.12.2024</v>
      </c>
      <c r="AY24" s="135">
        <f>IF($D23=1,AY$8,IF($D23=2,AY$9,IF($D23=3,AY$10)))</f>
        <v>365</v>
      </c>
      <c r="AZ24" s="134" t="str">
        <f t="array" ref="AZ24">IF(MAX(IF((ISNUMBER(SEARCH("Мала висота",Main!$M$6:$M$798)))*(Main!$B$6:$B$798='Стан БГ'!C24),Main!$A$6:$A$798,0))&gt;0,MAX(IF((ISNUMBER(SEARCH("Мала висота",Main!$M$6:$M$798)))*(Main!$B$6:$B$798='Стан БГ'!C24),Main!$A$6:$A$798,0)),"04.02.2025")</f>
        <v>04.02.2025</v>
      </c>
      <c r="BA24" s="135">
        <f>IF($D23=1,BA$8,IF($D23=2,BA$9,IF($D23=3,BA$10)))</f>
        <v>122</v>
      </c>
      <c r="BB24" s="134" t="str">
        <f t="array" ref="BB24">IF(MAX(IF((ISNUMBER(SEARCH("Гр. мала висота (ОНБ)",Main!$M$6:$M$798)))*(Main!$B$6:$B$798='Стан БГ'!C24),Main!$A$6:$A$798,0))&gt;0,MAX(IF((ISNUMBER(SEARCH("Гр. мала висота (ОНБ)",Main!$M$6:$M$798)))*(Main!$B$6:$B$798='Стан БГ'!C24),Main!$A$6:$A$798,0)),"14.01.2025")</f>
        <v>14.01.2025</v>
      </c>
      <c r="BC24" s="135">
        <f>IF($D23=1,BC$8,IF($D23=2,BC$9,IF($D23=3,BC$10)))</f>
        <v>184</v>
      </c>
      <c r="BD24" s="134" t="str">
        <f t="array" ref="BD24">IF(MAX(IF((ISNUMBER(SEARCH("Бойове застосування",Main!$M$6:$M$798)))*(Main!$B$6:$B$798='Стан БГ'!C24),Main!$A$6:$A$798,0))&gt;0,MAX(IF((ISNUMBER(SEARCH("Бойове застосування",Main!$M$6:$M$798)))*(Main!$B$6:$B$798='Стан БГ'!C24),Main!$A$6:$A$798,0)),"14.01.2025")</f>
        <v>14.01.2025</v>
      </c>
      <c r="BE24" s="135">
        <f>IF($D23=1,BE$8,IF($D23=2,BE$9,IF($D23=3,BE$10)))</f>
        <v>184</v>
      </c>
      <c r="BF24" s="134" t="str">
        <f t="array" ref="BF24">IF(MAX(IF((ISNUMBER(SEARCH("Групова злітаність",Main!$M$6:$M$798)))*(Main!$B$6:$B$798='Стан БГ'!C24),Main!$A$6:$A$798,0))&gt;0,MAX(IF((ISNUMBER(SEARCH("Групова злітаність",Main!$M$6:$M$798)))*(Main!$B$6:$B$798='Стан БГ'!C24),Main!$A$6:$A$798,0)),"05.02.2025")</f>
        <v>05.02.2025</v>
      </c>
      <c r="BG24" s="135">
        <f>IF($D23=1,BG$8,IF($D23=2,BG$9,IF($D23=3,BG$10)))</f>
        <v>365</v>
      </c>
      <c r="BH24" s="176" t="str">
        <f t="array" ref="BH24">IF(MAX(IF((ISNUMBER(SEARCH("На десантування",Main!$M$6:$M$798)))*(Main!$B$6:$B$798='Стан БГ'!C24),Main!$A$6:$A$798,0))&gt;0,MAX(IF((ISNUMBER(SEARCH("На десантування",Main!$M$6:$M$798)))*(Main!$B$6:$B$798='Стан БГ'!C24),Main!$A$6:$A$798,0)),"05.02.2025")</f>
        <v>05.02.2025</v>
      </c>
      <c r="BI24" s="143">
        <f>IF($D23=1,BI$8,IF($D23=2,BI$9,IF($D23=3,BI$10)))</f>
        <v>184</v>
      </c>
      <c r="BJ24" s="142">
        <v>45693.0</v>
      </c>
      <c r="BK24" s="22"/>
    </row>
    <row r="25" ht="4.5" hidden="1" customHeight="1" outlineLevel="1">
      <c r="A25" s="23"/>
      <c r="B25" s="24"/>
      <c r="C25" s="24"/>
      <c r="D25" s="24"/>
      <c r="E25" s="123"/>
      <c r="F25" s="24"/>
      <c r="G25" s="24"/>
      <c r="H25" s="144"/>
      <c r="I25" s="145">
        <f>IF(AND(J23=1,OR($G23="вп",$G23="вд",$G23="шп",$G23="оа")),1,0)</f>
        <v>0</v>
      </c>
      <c r="J25" s="146">
        <f>IF(J24="",0,IF($C$2&lt;(I24+J24)-15,2,IF($C$2&lt;(I24+J24),1,"0")))</f>
        <v>0</v>
      </c>
      <c r="K25" s="147"/>
      <c r="L25" s="148">
        <f>IF(L24="",0,IF($C$2&lt;(K24+L24)-15,2,IF($C$2&lt;(K24+L24),1,"0")))</f>
        <v>0</v>
      </c>
      <c r="M25" s="147"/>
      <c r="N25" s="146">
        <f>IF(N24="",0,IF($C$2&lt;(M24+N24)-15,2,IF($C$2&lt;(M24+N24),1,"0")))</f>
        <v>0</v>
      </c>
      <c r="O25" s="149"/>
      <c r="P25" s="146">
        <f>IF(P24="",0,IF($C$2&lt;(O24+P24)-15,2,IF($C$2&lt;(O24+P24),1,"0")))</f>
        <v>0</v>
      </c>
      <c r="Q25" s="149"/>
      <c r="R25" s="146">
        <f>IF(R24="",0,IF($C$2&lt;(Q24+R24)-15,2,IF($C$2&lt;(Q24+R24),1,"0")))</f>
        <v>0</v>
      </c>
      <c r="S25" s="149"/>
      <c r="T25" s="146">
        <f>IF(T24="",0,IF($C$2&lt;(S24+T24)-15,2,IF($C$2&lt;(S24+T24),1,"0")))</f>
        <v>0</v>
      </c>
      <c r="U25" s="150"/>
      <c r="V25" s="26"/>
      <c r="W25" s="152"/>
      <c r="X25" s="26"/>
      <c r="Y25" s="153"/>
      <c r="Z25" s="26"/>
      <c r="AA25" s="153"/>
      <c r="AB25" s="26"/>
      <c r="AC25" s="153"/>
      <c r="AD25" s="26"/>
      <c r="AE25" s="153"/>
      <c r="AF25" s="26"/>
      <c r="AG25" s="153"/>
      <c r="AH25" s="26"/>
      <c r="AI25" s="153"/>
      <c r="AJ25" s="26"/>
      <c r="AK25" s="153"/>
      <c r="AM25" s="180"/>
      <c r="AN25" s="26"/>
      <c r="AO25" s="150"/>
      <c r="AP25" s="146" t="str">
        <f>IF(AP24 = "",0,IF($C$2&lt;(AO24+AP24)-15,2,IF($C$2&lt;(AO24+AP24),1,"0")))</f>
        <v>0</v>
      </c>
      <c r="AQ25" s="150"/>
      <c r="AR25" s="146" t="str">
        <f>IF(AR24 = "",0,IF($C$2&lt;(AQ24+AR24)-15,2,IF($C$2&lt;(AQ24+AR24),1,"0")))</f>
        <v>0</v>
      </c>
      <c r="AS25" s="150"/>
      <c r="AT25" s="26"/>
      <c r="AU25" s="153"/>
      <c r="AV25" s="33"/>
      <c r="AW25" s="181"/>
      <c r="AX25" s="26"/>
      <c r="AY25" s="153"/>
      <c r="AZ25" s="26"/>
      <c r="BA25" s="153"/>
      <c r="BB25" s="26"/>
      <c r="BC25" s="153"/>
      <c r="BD25" s="26"/>
      <c r="BE25" s="153"/>
      <c r="BF25" s="26"/>
      <c r="BG25" s="153"/>
      <c r="BI25" s="155"/>
      <c r="BK25" s="22"/>
    </row>
    <row r="26" ht="4.5" hidden="1" customHeight="1" outlineLevel="1">
      <c r="A26" s="23"/>
      <c r="B26" s="24"/>
      <c r="C26" s="24"/>
      <c r="D26" s="24"/>
      <c r="E26" s="123"/>
      <c r="F26" s="24"/>
      <c r="G26" s="24"/>
      <c r="H26" s="156" t="s">
        <v>57</v>
      </c>
      <c r="I26" s="110">
        <v>1.0</v>
      </c>
      <c r="J26" s="146">
        <v>0.0</v>
      </c>
      <c r="K26" s="147"/>
      <c r="L26" s="148">
        <v>0.0</v>
      </c>
      <c r="M26" s="147"/>
      <c r="N26" s="146">
        <v>0.0</v>
      </c>
      <c r="O26" s="149"/>
      <c r="P26" s="146">
        <v>0.0</v>
      </c>
      <c r="Q26" s="149"/>
      <c r="R26" s="146">
        <v>0.0</v>
      </c>
      <c r="S26" s="149"/>
      <c r="T26" s="146">
        <v>0.0</v>
      </c>
      <c r="U26" s="114"/>
      <c r="V26" s="26"/>
      <c r="W26" s="116"/>
      <c r="X26" s="26"/>
      <c r="Y26" s="159"/>
      <c r="Z26" s="26"/>
      <c r="AA26" s="159"/>
      <c r="AB26" s="26"/>
      <c r="AC26" s="159"/>
      <c r="AD26" s="26"/>
      <c r="AE26" s="159"/>
      <c r="AF26" s="26"/>
      <c r="AG26" s="159"/>
      <c r="AH26" s="26"/>
      <c r="AI26" s="159"/>
      <c r="AJ26" s="26"/>
      <c r="AK26" s="159"/>
      <c r="AM26" s="182"/>
      <c r="AN26" s="26"/>
      <c r="AO26" s="114"/>
      <c r="AP26" s="115"/>
      <c r="AQ26" s="114"/>
      <c r="AR26" s="115"/>
      <c r="AS26" s="114"/>
      <c r="AT26" s="26"/>
      <c r="AU26" s="159"/>
      <c r="AV26" s="33"/>
      <c r="AW26" s="183"/>
      <c r="AX26" s="26"/>
      <c r="AY26" s="159"/>
      <c r="AZ26" s="26"/>
      <c r="BA26" s="159"/>
      <c r="BB26" s="26"/>
      <c r="BC26" s="159"/>
      <c r="BD26" s="26"/>
      <c r="BE26" s="159"/>
      <c r="BF26" s="26"/>
      <c r="BG26" s="159"/>
      <c r="BI26" s="121"/>
      <c r="BK26" s="22"/>
    </row>
    <row r="27" ht="12.75" hidden="1" customHeight="1" outlineLevel="1">
      <c r="A27" s="23"/>
      <c r="B27" s="24"/>
      <c r="C27" s="24"/>
      <c r="D27" s="24"/>
      <c r="E27" s="123"/>
      <c r="F27" s="24"/>
      <c r="G27" s="24"/>
      <c r="H27" s="124"/>
      <c r="I27" s="125">
        <f>I24</f>
        <v>107</v>
      </c>
      <c r="J27" s="160" t="str">
        <f t="array" ref="J27">IF(MAX(IF((Main!$D$6:$D$798="ДПМУ")*(Main!$B$6:$B$798='Стан БГ'!C24)*(Main!$C$6:$C$798='Стан БГ'!H26),Main!$A$6:$A$798,0),L27,N27,P27,R27,T27)&gt;0,MAX(IF((Main!$D$6:$D$798="ДПМУ")*(Main!$B$6:$B$798='Стан БГ'!C24)*(Main!$C$6:$C$798='Стан БГ'!H26),Main!$A$6:$A$798,0),L27,N27,P27,R27,T27),"")</f>
        <v/>
      </c>
      <c r="K27" s="161">
        <f>K24</f>
        <v>92</v>
      </c>
      <c r="L27" s="162" t="str">
        <f t="array" ref="L27">IF(MAX(IF((Main!$D$6:$D$798="ДСМУ")*(Main!$B$6:$B$798='Стан БГ'!C24)*(Main!$C$6:$C$798='Стан БГ'!H26),Main!$A$6:$A$798,0),N27,R27,T27)&gt;0,MAX(IF((Main!$D$6:$D$798="ДСМУ")*(Main!$B$6:$B$798='Стан БГ'!C24)*(Main!$C$6:$C$798='Стан БГ'!H26),Main!$A$6:$A$798,0),N27,R27,T27),"")</f>
        <v/>
      </c>
      <c r="M27" s="161">
        <f>M24</f>
        <v>77</v>
      </c>
      <c r="N27" s="128" t="str">
        <f t="array" ref="N27">IF(MAX(IF((Main!$D$6:$D$798="ДВМП")*(Main!$B$6:$B$798='Стан БГ'!C24)*(Main!$C$6:$C$798='Стан БГ'!H26),Main!$A$6:$A$798,0),T27)&gt;0,MAX(IF((Main!$D$6:$D$798="ДВМП")*(Main!$B$6:$B$798='Стан БГ'!C24)*(Main!$C$6:$C$798='Стан БГ'!H26),Main!$A$6:$A$798,0),T27),"")</f>
        <v/>
      </c>
      <c r="O27" s="163">
        <f>O24</f>
        <v>92</v>
      </c>
      <c r="P27" s="128" t="str">
        <f t="array" ref="P27">IF(MAX(IF((Main!$D$6:$D$798="НПМУ")*(Main!$B$6:$B$798='Стан БГ'!C24)*(Main!$C$6:$C$798='Стан БГ'!H26),Main!$A$6:$A$798,0),R27,T27)&gt;0,MAX(IF((Main!$D$6:$D$798="НПМУ")*(Main!$B$6:$B$798='Стан БГ'!C24)*(Main!$C$6:$C$798='Стан БГ'!H26),Main!$A$6:$A$798,0),R27,T27),"")</f>
        <v/>
      </c>
      <c r="Q27" s="161">
        <f>Q24</f>
        <v>77</v>
      </c>
      <c r="R27" s="128" t="str">
        <f t="array" ref="R27">IF(MAX(IF((Main!$D$6:$D$798="НСМУ")*(Main!$B$6:$B$798='Стан БГ'!C24)*(Main!$C$6:$C$798='Стан БГ'!H26),Main!$A$6:$A$798,0),T27)&gt;0,MAX(IF((Main!$D$6:$D$798="НСМУ")*(Main!$B$6:$B$798='Стан БГ'!C24)*(Main!$C$6:$C$798='Стан БГ'!H26),Main!$A$6:$A$798,0),T27),"")</f>
        <v/>
      </c>
      <c r="S27" s="161">
        <f>S24</f>
        <v>61</v>
      </c>
      <c r="T27" s="164" t="str">
        <f t="array" ref="T27">IF(MAX(IF((Main!$D$6:$D$798="НВМП")*(Main!$B$6:$B$798='Стан БГ'!C24)*(Main!$C$6:$C$798='Стан БГ'!H26),Main!$A$6:$A$798,0))&gt;0,MAX(IF((Main!$D$6:$D$798="НВМП")*(Main!$B$6:$B$798='Стан БГ'!C24)*(Main!$C$6:$C$798='Стан БГ'!H26),Main!$A$6:$A$798,0)),"")</f>
        <v/>
      </c>
      <c r="U27" s="131">
        <f>U24</f>
        <v>365</v>
      </c>
      <c r="V27" s="26"/>
      <c r="W27" s="133">
        <f>IF($D23=1,W$8,IF($D23=2,W$9,IF($D23=3,W$10)))</f>
        <v>365</v>
      </c>
      <c r="X27" s="26"/>
      <c r="Y27" s="135">
        <f>IF($D23=1,Y$8,IF($D23=2,Y$9,IF($D23=3,Y$10)))</f>
        <v>365</v>
      </c>
      <c r="Z27" s="26"/>
      <c r="AA27" s="135">
        <f>IF($D23=1,AA$8,IF($D23=2,AA$9,IF($D23=3,AA$10)))</f>
        <v>365</v>
      </c>
      <c r="AB27" s="26"/>
      <c r="AC27" s="135">
        <f>IF($D23=1,AC$8,IF($D23=2,AC$9,IF($D23=3,AC$10)))</f>
        <v>365</v>
      </c>
      <c r="AD27" s="26"/>
      <c r="AE27" s="135">
        <f>AE24</f>
        <v>365</v>
      </c>
      <c r="AF27" s="26"/>
      <c r="AG27" s="135">
        <f>AG24</f>
        <v>365</v>
      </c>
      <c r="AH27" s="26"/>
      <c r="AI27" s="135">
        <f>AI24</f>
        <v>365</v>
      </c>
      <c r="AJ27" s="26"/>
      <c r="AK27" s="135">
        <f>AK24</f>
        <v>365</v>
      </c>
      <c r="AM27" s="177">
        <f>AM24</f>
        <v>365</v>
      </c>
      <c r="AN27" s="26"/>
      <c r="AO27" s="131" t="b">
        <f>IF($D26=1,AO$8,IF($D26=2,AO$9,IF($D26=3,AO$10)))</f>
        <v>0</v>
      </c>
      <c r="AP27" s="128"/>
      <c r="AQ27" s="135" t="b">
        <f>IF($D26=1,AQ$8,IF($D26=2,AQ$9,IF($D26=3,AQ$10)))</f>
        <v>0</v>
      </c>
      <c r="AR27" s="128">
        <v>45768.0</v>
      </c>
      <c r="AS27" s="131" t="b">
        <f>IF($D26=1,AS$8,IF($D26=2,AS$9,IF($D26=3,AS$10)))</f>
        <v>0</v>
      </c>
      <c r="AT27" s="26"/>
      <c r="AU27" s="135" t="b">
        <f>IF($D26=1,AU$8,IF($D26=2,AU$9,IF($D26=3,AU$10)))</f>
        <v>0</v>
      </c>
      <c r="AV27" s="33"/>
      <c r="AW27" s="179">
        <f>IF($D23=1,AW$8,IF($D23=2,AW$9,IF($D23=3,AW$10)))</f>
        <v>365</v>
      </c>
      <c r="AX27" s="26"/>
      <c r="AY27" s="135">
        <f>IF($D23=1,AY$8,IF($D23=2,AY$9,IF($D23=3,AY$10)))</f>
        <v>365</v>
      </c>
      <c r="AZ27" s="26"/>
      <c r="BA27" s="135">
        <f>IF($D23=1,BA$8,IF($D23=2,BA$9,IF($D23=3,BA$10)))</f>
        <v>122</v>
      </c>
      <c r="BB27" s="26"/>
      <c r="BC27" s="135">
        <f>IF($D23=1,BC$8,IF($D23=2,BC$9,IF($D23=3,BC$10)))</f>
        <v>184</v>
      </c>
      <c r="BD27" s="26"/>
      <c r="BE27" s="135">
        <f>BE24</f>
        <v>184</v>
      </c>
      <c r="BF27" s="26"/>
      <c r="BG27" s="135">
        <f>BG24</f>
        <v>365</v>
      </c>
      <c r="BI27" s="143">
        <f>BI24</f>
        <v>184</v>
      </c>
      <c r="BK27" s="22"/>
    </row>
    <row r="28" ht="4.5" hidden="1" customHeight="1" outlineLevel="1">
      <c r="A28" s="59"/>
      <c r="B28" s="60"/>
      <c r="C28" s="167"/>
      <c r="D28" s="60"/>
      <c r="E28" s="168"/>
      <c r="F28" s="60"/>
      <c r="G28" s="60"/>
      <c r="H28" s="144"/>
      <c r="I28" s="145">
        <f>IF(AND(J23=1,OR($G23="вп",$G23="вд",$G23="шп",$G23="оа")),1,0)</f>
        <v>0</v>
      </c>
      <c r="J28" s="146">
        <f>IF(J27="",0,IF($C$2&lt;(I27+J27)-15,2,IF($C$2&lt;(I27+J27),1,"0")))</f>
        <v>0</v>
      </c>
      <c r="K28" s="147"/>
      <c r="L28" s="148">
        <f>IF(L27="",0,IF($C$2&lt;(K27+L27)-15,2,IF($C$2&lt;(K27+L27),1,"0")))</f>
        <v>0</v>
      </c>
      <c r="M28" s="147"/>
      <c r="N28" s="146">
        <f>IF(N27="",0,IF($C$2&lt;(M27+N27)-15,2,IF($C$2&lt;(M27+N27),1,"0")))</f>
        <v>0</v>
      </c>
      <c r="O28" s="149"/>
      <c r="P28" s="146">
        <f>IF(P27="",0,IF($C$2&lt;(O27+P27)-15,2,IF($C$2&lt;(O27+P27),1,"0")))</f>
        <v>0</v>
      </c>
      <c r="Q28" s="149"/>
      <c r="R28" s="146">
        <f>IF(R27="",0,IF($C$2&lt;(Q27+R27)-15,2,IF($C$2&lt;(Q27+R27),1,"0")))</f>
        <v>0</v>
      </c>
      <c r="S28" s="149"/>
      <c r="T28" s="146">
        <f>IF(T27="",0,IF($C$2&lt;(S27+T27)-15,2,IF($C$2&lt;(S27+T27),1,"0")))</f>
        <v>0</v>
      </c>
      <c r="U28" s="147"/>
      <c r="V28" s="146">
        <f>IF(V24 = "",0,IF($C$2&lt;(U24+V24)-15,2,IF($C$2&lt;(U24+V24),1,"0")))</f>
        <v>2</v>
      </c>
      <c r="W28" s="152"/>
      <c r="X28" s="146" t="str">
        <f>IF(X24 = "",0,IF($C$2&lt;(W24+X24)-15,2,IF($C$2&lt;(W24+X24),1,"0")))</f>
        <v>0</v>
      </c>
      <c r="Y28" s="147"/>
      <c r="Z28" s="146" t="str">
        <f>IF(Z24 = "",0,IF($C$2&lt;(Y24+Z24)-15,2,IF($C$2&lt;(Y24+Z24),1,"0")))</f>
        <v>0</v>
      </c>
      <c r="AA28" s="147"/>
      <c r="AB28" s="146" t="str">
        <f>IF(AB24 = "",0,IF($C$2&lt;(AA24+AB24)-15,2,IF($C$2&lt;(AA24+AB24),1,"0")))</f>
        <v>0</v>
      </c>
      <c r="AC28" s="147"/>
      <c r="AD28" s="146" t="str">
        <f>IF(AD24 = "",0,IF($C$2&lt;(AC24+AD24)-15,2,IF($C$2&lt;(AC24+AD24),1,"0")))</f>
        <v>0</v>
      </c>
      <c r="AE28" s="147"/>
      <c r="AF28" s="146" t="str">
        <f>IF(AF24 = "",0,IF($C$2&lt;(AE24+AF24)-15,2,IF($C$2&lt;(AE24+AF24),1,"0")))</f>
        <v>0</v>
      </c>
      <c r="AG28" s="147"/>
      <c r="AH28" s="146" t="str">
        <f>IF(AH24 = "",0,IF($C$2&lt;(AG24+AH24)-15,2,IF($C$2&lt;(AG24+AH24),1,"0")))</f>
        <v>0</v>
      </c>
      <c r="AI28" s="147"/>
      <c r="AJ28" s="146" t="str">
        <f>IF(AJ24 = "",0,IF($C$2&lt;(AI24+AJ24)-15,2,IF($C$2&lt;(AI24+AJ24),1,"0")))</f>
        <v>0</v>
      </c>
      <c r="AK28" s="147"/>
      <c r="AL28" s="146">
        <f>IF(AL24 = "",0,IF($C$2&lt;(AK24+AL24)-15,2,IF($C$2&lt;(AK24+AL24),1,"0")))</f>
        <v>0</v>
      </c>
      <c r="AM28" s="170"/>
      <c r="AN28" s="146" t="str">
        <f>IF(AN24 = "",0,IF($C$2&lt;(AM24+AN24)-15,2,IF($C$2&lt;(AM24+AN24),1,"0")))</f>
        <v>0</v>
      </c>
      <c r="AO28" s="150"/>
      <c r="AP28" s="146">
        <f>IF(AP27 = "",0,IF($C$2&lt;(AO24+AP27)-15,2,IF($C$2&lt;(AO24+AP27),1,"0")))</f>
        <v>0</v>
      </c>
      <c r="AQ28" s="150"/>
      <c r="AR28" s="146">
        <f>IF(AR27 = "",0,IF($C$2&lt;(AQ24+AR27)-15,2,IF($C$2&lt;(AQ24+AR27),1,"0")))</f>
        <v>2</v>
      </c>
      <c r="AS28" s="150"/>
      <c r="AT28" s="146" t="str">
        <f>IF(AT24 = "",0,IF($C$2&lt;(AS24+AT24)-15,2,IF($C$2&lt;(AS24+AT24),1,"0")))</f>
        <v>0</v>
      </c>
      <c r="AU28" s="150"/>
      <c r="AV28" s="171">
        <f>IF(AV24 = "",0,IF($C$2&lt;(AU24+AV24)-15,2,IF($C$2&lt;(AU24+AV24),1,"0")))</f>
        <v>2</v>
      </c>
      <c r="AW28" s="154"/>
      <c r="AX28" s="146" t="str">
        <f>IF(AX24 = "",0,IF($C$2&lt;(AW24+AX24)-15,2,IF($C$2&lt;(AW24+AX24),1,"0")))</f>
        <v>0</v>
      </c>
      <c r="AY28" s="147"/>
      <c r="AZ28" s="146" t="str">
        <f>IF(AZ24 = "",0,IF($C$2&lt;(AY24+AZ24)-15,2,IF($C$2&lt;(AY24+AZ24),1,"0")))</f>
        <v>0</v>
      </c>
      <c r="BA28" s="147"/>
      <c r="BB28" s="146" t="str">
        <f>IF(BB24 = "",0,IF($C$2&lt;(BA24+BB24)-15,2,IF($C$2&lt;(BA24+BB24),1,"0")))</f>
        <v>0</v>
      </c>
      <c r="BC28" s="147"/>
      <c r="BD28" s="146" t="str">
        <f>IF(BD24 = "",0,IF($C$2&lt;(BC24+BD24)-15,2,IF($C$2&lt;(BC24+BD24),1,"0")))</f>
        <v>0</v>
      </c>
      <c r="BE28" s="147"/>
      <c r="BF28" s="146" t="str">
        <f>IF(BF24 = "",0,IF($C$2&lt;(BE24+BF24)-15,2,IF($C$2&lt;(BE24+BF24),1,"0")))</f>
        <v>0</v>
      </c>
      <c r="BG28" s="147"/>
      <c r="BH28" s="172" t="str">
        <f>IF(BH24 = "",0,IF($C$2&lt;(BG24+BH24)-15,2,IF($C$2&lt;(BG24+BH24),1,"0")))</f>
        <v>0</v>
      </c>
      <c r="BI28" s="173"/>
      <c r="BJ28" s="172" t="str">
        <f>IF(BJ24 = "",0,IF($C$2&lt;(BI24+BJ24)-15,2,IF($C$2&lt;(BI24+BJ24),1,"0")))</f>
        <v>0</v>
      </c>
      <c r="BK28" s="22"/>
    </row>
    <row r="29" ht="5.25" hidden="1" customHeight="1" outlineLevel="1">
      <c r="A29" s="103">
        <v>4.0</v>
      </c>
      <c r="B29" s="104" t="s">
        <v>62</v>
      </c>
      <c r="C29" s="174"/>
      <c r="D29" s="106"/>
      <c r="E29" s="107">
        <v>1.0</v>
      </c>
      <c r="F29" s="184">
        <f>IF(E29=1,1.5,1)</f>
        <v>1.5</v>
      </c>
      <c r="G29" s="108"/>
      <c r="H29" s="109"/>
      <c r="I29" s="110">
        <v>1.0</v>
      </c>
      <c r="J29" s="111">
        <f>IF(OR(J31=1,J31=2),1,0)</f>
        <v>0</v>
      </c>
      <c r="K29" s="110">
        <v>1.0</v>
      </c>
      <c r="L29" s="175">
        <f>IF(OR(L31=1,L31=2),1,0)</f>
        <v>0</v>
      </c>
      <c r="M29" s="110">
        <v>1.0</v>
      </c>
      <c r="N29" s="112">
        <f>IF(OR(N31=1,N31=2),1,0)</f>
        <v>0</v>
      </c>
      <c r="O29" s="110">
        <v>1.0</v>
      </c>
      <c r="P29" s="111">
        <f>IF(OR(P31=1,P31=2),1,0)</f>
        <v>0</v>
      </c>
      <c r="Q29" s="110">
        <v>1.0</v>
      </c>
      <c r="R29" s="111">
        <f>IF(OR(R31=1,R31=2),1,0)</f>
        <v>0</v>
      </c>
      <c r="S29" s="110">
        <v>1.0</v>
      </c>
      <c r="T29" s="113">
        <f>IF(OR(T31=1,T31=2),1,0)</f>
        <v>0</v>
      </c>
      <c r="U29" s="114"/>
      <c r="V29" s="115"/>
      <c r="W29" s="116"/>
      <c r="X29" s="115"/>
      <c r="Y29" s="114"/>
      <c r="Z29" s="115"/>
      <c r="AA29" s="114"/>
      <c r="AB29" s="115"/>
      <c r="AC29" s="114"/>
      <c r="AD29" s="115"/>
      <c r="AE29" s="114"/>
      <c r="AF29" s="115"/>
      <c r="AG29" s="114"/>
      <c r="AH29" s="115"/>
      <c r="AI29" s="114"/>
      <c r="AJ29" s="115"/>
      <c r="AK29" s="114"/>
      <c r="AL29" s="117"/>
      <c r="AM29" s="118"/>
      <c r="AN29" s="115"/>
      <c r="AO29" s="114"/>
      <c r="AP29" s="115"/>
      <c r="AQ29" s="114"/>
      <c r="AR29" s="115"/>
      <c r="AS29" s="114"/>
      <c r="AT29" s="115"/>
      <c r="AU29" s="114"/>
      <c r="AV29" s="119"/>
      <c r="AW29" s="120"/>
      <c r="AX29" s="115"/>
      <c r="AY29" s="114"/>
      <c r="AZ29" s="115"/>
      <c r="BA29" s="114"/>
      <c r="BB29" s="115"/>
      <c r="BC29" s="114"/>
      <c r="BD29" s="115"/>
      <c r="BE29" s="114"/>
      <c r="BF29" s="115"/>
      <c r="BG29" s="114"/>
      <c r="BH29" s="117"/>
      <c r="BI29" s="121"/>
      <c r="BJ29" s="117"/>
      <c r="BK29" s="22"/>
    </row>
    <row r="30" ht="14.25" hidden="1" customHeight="1" outlineLevel="1">
      <c r="A30" s="23"/>
      <c r="B30" s="24"/>
      <c r="C30" s="122"/>
      <c r="D30" s="24"/>
      <c r="E30" s="123"/>
      <c r="F30" s="26"/>
      <c r="G30" s="24"/>
      <c r="H30" s="124"/>
      <c r="I30" s="125">
        <f>IF($D29=1,I$8,IF($D29=2,I$9,I$10))</f>
        <v>76</v>
      </c>
      <c r="J30" s="126" t="str">
        <f t="array" ref="J30">IF(MAX(IF((Main!$D$6:$D$798="ДПМУ")*(Main!$B$6:$B$798='Стан БГ'!C30)*(Main!$C$6:$C$798='Стан БГ'!H29),Main!$A$6:$A$798,0),L30,N30,P30,R30,T30)&gt;0,MAX(IF((Main!$D$6:$D$798="ДПМУ")*(Main!$B$6:$B$798='Стан БГ'!C30)*(Main!$C$6:$C$798='Стан БГ'!H29),Main!$A$6:$A$798,0),L30,N30,P30,R30,T30),"")</f>
        <v/>
      </c>
      <c r="K30" s="127">
        <f>IF($D29=1,K$8,IF($D29=2,K$9,K$10))</f>
        <v>61</v>
      </c>
      <c r="L30" s="128" t="str">
        <f t="array" ref="L30">IF(MAX(IF((Main!$D$6:$D$798="ДСМУ")*(Main!$B$6:$B$798='Стан БГ'!C30)*(Main!$C$6:$C$798='Стан БГ'!H29),Main!$A$6:$A$798,0),N30,R30,T30)&gt;0,MAX(IF((Main!$D$6:$D$798="ДСМУ")*(Main!$B$6:$B$798='Стан БГ'!C30)*(Main!$C$6:$C$798='Стан БГ'!H29),Main!$A$6:$A$798,0),N30,R30,T30),"")</f>
        <v/>
      </c>
      <c r="M30" s="127">
        <f>IF($D29=1,M$8,IF($D29=2,M$9,M$10))</f>
        <v>46</v>
      </c>
      <c r="N30" s="128" t="str">
        <f t="array" ref="N30">IF(MAX(IF((Main!$D$6:$D$798="ДВМП")*(Main!$B$6:$B$798='Стан БГ'!C30)*(Main!$C$6:$C$798='Стан БГ'!H29),Main!$A$6:$A$798,0),T30)&gt;0,MAX(IF((Main!$D$6:$D$798="ДВМП")*(Main!$B$6:$B$798='Стан БГ'!C30)*(Main!$C$6:$C$798='Стан БГ'!H29),Main!$A$6:$A$798,0),T30),"")</f>
        <v/>
      </c>
      <c r="O30" s="127">
        <f>IF($D29=1,O$8,IF($D29=2,O$9,O$10))</f>
        <v>61</v>
      </c>
      <c r="P30" s="129" t="str">
        <f t="array" ref="P30">IF(MAX(IF((Main!$D$6:$D$798="НПМУ")*(Main!$B$6:$B$798='Стан БГ'!C30)*(Main!$C$6:$C$798='Стан БГ'!H29),Main!$A$6:$A$798,0),R30,T30)&gt;0,MAX(IF((Main!$D$6:$D$798="НПМУ")*(Main!$B$6:$B$798='Стан БГ'!C30)*(Main!$C$6:$C$798='Стан БГ'!H29),Main!$A$6:$A$798,0),R30,T30),"")</f>
        <v/>
      </c>
      <c r="Q30" s="127">
        <f>IF($D29=1,Q$8,IF($D29=2,Q$9,Q$10))</f>
        <v>46</v>
      </c>
      <c r="R30" s="129" t="str">
        <f t="array" ref="R30">IF(MAX(IF((Main!$D$6:$D$798="НСМУ")*(Main!$B$6:$B$798='Стан БГ'!C30)*(Main!$C$6:$C$798='Стан БГ'!H29),Main!$A$6:$A$798,0),T30)&gt;0,MAX(IF((Main!$D$6:$D$798="НСМУ")*(Main!$B$6:$B$798='Стан БГ'!C30)*(Main!$C$6:$C$798='Стан БГ'!H29),Main!$A$6:$A$798,0),T30),"")</f>
        <v/>
      </c>
      <c r="S30" s="127">
        <f>IF($D29=1,S$8,IF($D29=2,S$9,S$10))</f>
        <v>30</v>
      </c>
      <c r="T30" s="164" t="str">
        <f t="array" ref="T30">IF(MAX(IF((Main!$D$6:$D$798="НВМП")*(Main!$B$6:$B$798='Стан БГ'!C30)*(Main!$C$6:$C$798='Стан БГ'!H29),Main!$A$6:$A$798,0))&gt;0,MAX(IF((Main!$D$6:$D$798="НВМП")*(Main!$B$6:$B$798='Стан БГ'!C30)*(Main!$C$6:$C$798='Стан БГ'!H29),Main!$A$6:$A$798,0)),"")</f>
        <v/>
      </c>
      <c r="U30" s="131" t="b">
        <f>IF($D29=1,U$8,IF($D29=2,U$9,IF($D29=3,U$10)))</f>
        <v>0</v>
      </c>
      <c r="V30" s="139"/>
      <c r="W30" s="133" t="b">
        <f>IF($D29=1,W$8,IF($D29=2,W$9,IF($D29=3,W$10)))</f>
        <v>0</v>
      </c>
      <c r="X30" s="134"/>
      <c r="Y30" s="135" t="b">
        <f>IF($D29=1,Y$8,IF($D29=2,Y$9,IF($D29=3,Y$10)))</f>
        <v>0</v>
      </c>
      <c r="Z30" s="134"/>
      <c r="AA30" s="135" t="b">
        <f>IF($D29=1,AA$8,IF($D29=2,AA$9,IF($D29=3,AA$10)))</f>
        <v>0</v>
      </c>
      <c r="AB30" s="134"/>
      <c r="AC30" s="135" t="b">
        <f>IF($D29=1,AC$8,IF($D29=2,AC$9,IF($D29=3,AC$10)))</f>
        <v>0</v>
      </c>
      <c r="AD30" s="134"/>
      <c r="AE30" s="135" t="b">
        <f>IF($D29=1,AE$8,IF($D29=2,AE$9,IF($D29=3,AE$10)))</f>
        <v>0</v>
      </c>
      <c r="AF30" s="134"/>
      <c r="AG30" s="135" t="b">
        <f>IF($D29=1,AG$8,IF($D29=2,AG$9,IF($D29=3,AG$10)))</f>
        <v>0</v>
      </c>
      <c r="AH30" s="134"/>
      <c r="AI30" s="135" t="b">
        <f>IF($D29=1,AI$8,IF($D29=2,AI$9,IF($D29=3,AI$10)))</f>
        <v>0</v>
      </c>
      <c r="AJ30" s="134"/>
      <c r="AK30" s="135" t="b">
        <f>IF($D29=1,AK$8,IF($D29=2,AK$9,IF($D29=3,AK$10)))</f>
        <v>0</v>
      </c>
      <c r="AL30" s="176"/>
      <c r="AM30" s="177" t="b">
        <f>IF($D29=1,AM$8,IF($D29=2,AM$9,IF($D29=3,AM$10)))</f>
        <v>0</v>
      </c>
      <c r="AN30" s="134"/>
      <c r="AO30" s="131" t="b">
        <f>IF($D29=1,AO$8,IF($D29=2,AO$9,IF($D29=3,AO$10)))</f>
        <v>0</v>
      </c>
      <c r="AP30" s="128"/>
      <c r="AQ30" s="135" t="b">
        <f>IF($D29=1,AQ$8,IF($D29=2,AQ$9,IF($D29=3,AQ$10)))</f>
        <v>0</v>
      </c>
      <c r="AR30" s="128"/>
      <c r="AS30" s="131" t="b">
        <f>IF($D29=1,AS$8,IF($D29=2,AS$9,IF($D29=3,AS$10)))</f>
        <v>0</v>
      </c>
      <c r="AT30" s="134"/>
      <c r="AU30" s="135" t="b">
        <f>IF($D29=1,AU$8,IF($D29=2,AU$9,IF($D29=3,AU$10)))</f>
        <v>0</v>
      </c>
      <c r="AV30" s="178"/>
      <c r="AW30" s="179" t="b">
        <f>IF($D29=1,AW$8,IF($D29=2,AW$9,IF($D29=3,AW$10)))</f>
        <v>0</v>
      </c>
      <c r="AX30" s="134" t="str">
        <f t="array" ref="AX30">IF(MAX(IF((ISNUMBER(SEARCH("Складний пілотаж",Main!$M$6:$M$798)))*(Main!$B$6:$B$798='Стан БГ'!C30),Main!$A$6:$A$798,0))&gt;0,MAX(IF((ISNUMBER(SEARCH("Складний пілотаж",Main!$M$6:$M$798)))*(Main!$B$6:$B$798='Стан БГ'!C30),Main!$A$6:$A$798,0)),"")</f>
        <v/>
      </c>
      <c r="AY30" s="135" t="b">
        <f>IF($D29=1,AY$8,IF($D29=2,AY$9,IF($D29=3,AY$10)))</f>
        <v>0</v>
      </c>
      <c r="AZ30" s="134" t="str">
        <f t="array" ref="AZ30">IF(MAX(IF((ISNUMBER(SEARCH("Мала висота",Main!$M$6:$M$798)))*(Main!$B$6:$B$798='Стан БГ'!C30),Main!$A$6:$A$798,0))&gt;0,MAX(IF((ISNUMBER(SEARCH("Мала висота",Main!$M$6:$M$798)))*(Main!$B$6:$B$798='Стан БГ'!C30),Main!$A$6:$A$798,0)),"")</f>
        <v/>
      </c>
      <c r="BA30" s="135" t="b">
        <f>IF($D29=1,BA$8,IF($D29=2,BA$9,IF($D29=3,BA$10)))</f>
        <v>0</v>
      </c>
      <c r="BB30" s="134" t="str">
        <f t="array" ref="BB30">IF(MAX(IF((ISNUMBER(SEARCH("Гр. мала висота (ОНБ)",Main!$M$6:$M$798)))*(Main!$B$6:$B$798='Стан БГ'!C30),Main!$A$6:$A$798,0))&gt;0,MAX(IF((ISNUMBER(SEARCH("Гр. мала висота (ОНБ)",Main!$M$6:$M$798)))*(Main!$B$6:$B$798='Стан БГ'!C30),Main!$A$6:$A$798,0)),"")</f>
        <v/>
      </c>
      <c r="BC30" s="135" t="b">
        <f>IF($D29=1,BC$8,IF($D29=2,BC$9,IF($D29=3,BC$10)))</f>
        <v>0</v>
      </c>
      <c r="BD30" s="134" t="str">
        <f t="array" ref="BD30">IF(MAX(IF((ISNUMBER(SEARCH("Бойове застосування",Main!$M$6:$M$798)))*(Main!$B$6:$B$798='Стан БГ'!C30),Main!$A$6:$A$798,0))&gt;0,MAX(IF((ISNUMBER(SEARCH("Бойове застосування",Main!$M$6:$M$798)))*(Main!$B$6:$B$798='Стан БГ'!C30),Main!$A$6:$A$798,0)),"")</f>
        <v/>
      </c>
      <c r="BE30" s="135" t="b">
        <f>IF($D29=1,BE$8,IF($D29=2,BE$9,IF($D29=3,BE$10)))</f>
        <v>0</v>
      </c>
      <c r="BF30" s="134" t="str">
        <f t="array" ref="BF30">IF(MAX(IF((ISNUMBER(SEARCH("Групова злітаність",Main!$M$6:$M$798)))*(Main!$B$6:$B$798='Стан БГ'!C30),Main!$A$6:$A$798,0))&gt;0,MAX(IF((ISNUMBER(SEARCH("Групова злітаність",Main!$M$6:$M$798)))*(Main!$B$6:$B$798='Стан БГ'!C30),Main!$A$6:$A$798,0)),"")</f>
        <v/>
      </c>
      <c r="BG30" s="135" t="b">
        <f>IF($D29=1,BG$8,IF($D29=2,BG$9,IF($D29=3,BG$10)))</f>
        <v>0</v>
      </c>
      <c r="BH30" s="176" t="str">
        <f t="array" ref="BH30">IF(MAX(IF((ISNUMBER(SEARCH("На десантування",Main!$M$6:$M$798)))*(Main!$B$6:$B$798='Стан БГ'!C30),Main!$A$6:$A$798,0))&gt;0,MAX(IF((ISNUMBER(SEARCH("На десантування",Main!$M$6:$M$798)))*(Main!$B$6:$B$798='Стан БГ'!C30),Main!$A$6:$A$798,0)),"")</f>
        <v/>
      </c>
      <c r="BI30" s="143" t="b">
        <f>IF($D29=1,BI$8,IF($D29=2,BI$9,IF($D29=3,BI$10)))</f>
        <v>0</v>
      </c>
      <c r="BJ30" s="142"/>
      <c r="BK30" s="22"/>
    </row>
    <row r="31" ht="4.5" hidden="1" customHeight="1" outlineLevel="1">
      <c r="A31" s="23"/>
      <c r="B31" s="24"/>
      <c r="C31" s="24"/>
      <c r="D31" s="24"/>
      <c r="E31" s="123"/>
      <c r="F31" s="26"/>
      <c r="G31" s="24"/>
      <c r="H31" s="144"/>
      <c r="I31" s="145">
        <f>IF(AND(J29=1,OR($G29="вп",$G29="вд",$G29="шп",$G29="оа")),1,0)</f>
        <v>0</v>
      </c>
      <c r="J31" s="146">
        <f>IF(J30="",0,IF($C$2&lt;(I30+J30)-15,2,IF($C$2&lt;(I30+J30),1,"0")))</f>
        <v>0</v>
      </c>
      <c r="K31" s="147"/>
      <c r="L31" s="148">
        <f>IF(L30="",0,IF($C$2&lt;(K30+L30)-15,2,IF($C$2&lt;(K30+L30),1,"0")))</f>
        <v>0</v>
      </c>
      <c r="M31" s="147"/>
      <c r="N31" s="146">
        <f>IF(N30="",0,IF($C$2&lt;(M30+N30)-15,2,IF($C$2&lt;(M30+N30),1,"0")))</f>
        <v>0</v>
      </c>
      <c r="O31" s="149"/>
      <c r="P31" s="146">
        <f>IF(P30="",0,IF($C$2&lt;(O30+P30)-15,2,IF($C$2&lt;(O30+P30),1,"0")))</f>
        <v>0</v>
      </c>
      <c r="Q31" s="149"/>
      <c r="R31" s="146">
        <f>IF(R30="",0,IF($C$2&lt;(Q30+R30)-15,2,IF($C$2&lt;(Q30+R30),1,"0")))</f>
        <v>0</v>
      </c>
      <c r="S31" s="149"/>
      <c r="T31" s="146">
        <f>IF(T30="",0,IF($C$2&lt;(S30+T30)-15,2,IF($C$2&lt;(S30+T30),1,"0")))</f>
        <v>0</v>
      </c>
      <c r="U31" s="150"/>
      <c r="V31" s="26"/>
      <c r="W31" s="152"/>
      <c r="X31" s="26"/>
      <c r="Y31" s="153"/>
      <c r="Z31" s="26"/>
      <c r="AA31" s="153"/>
      <c r="AB31" s="26"/>
      <c r="AC31" s="153"/>
      <c r="AD31" s="26"/>
      <c r="AE31" s="153"/>
      <c r="AF31" s="26"/>
      <c r="AG31" s="153"/>
      <c r="AH31" s="26"/>
      <c r="AI31" s="153"/>
      <c r="AJ31" s="26"/>
      <c r="AK31" s="153"/>
      <c r="AM31" s="180"/>
      <c r="AN31" s="26"/>
      <c r="AO31" s="150"/>
      <c r="AP31" s="146">
        <f>IF(AP30 = "",0,IF($C$2&lt;(AO30+AP30)-15,2,IF($C$2&lt;(AO30+AP30),1,"0")))</f>
        <v>0</v>
      </c>
      <c r="AQ31" s="150"/>
      <c r="AR31" s="146">
        <f>IF(AR30 = "",0,IF($C$2&lt;(AQ30+AR30)-15,2,IF($C$2&lt;(AQ30+AR30),1,"0")))</f>
        <v>0</v>
      </c>
      <c r="AS31" s="150"/>
      <c r="AT31" s="26"/>
      <c r="AU31" s="153"/>
      <c r="AV31" s="33"/>
      <c r="AW31" s="181"/>
      <c r="AX31" s="26"/>
      <c r="AY31" s="153"/>
      <c r="AZ31" s="26"/>
      <c r="BA31" s="153"/>
      <c r="BB31" s="26"/>
      <c r="BC31" s="153"/>
      <c r="BD31" s="26"/>
      <c r="BE31" s="153"/>
      <c r="BF31" s="26"/>
      <c r="BG31" s="153"/>
      <c r="BI31" s="155"/>
      <c r="BK31" s="22"/>
    </row>
    <row r="32" ht="4.5" hidden="1" customHeight="1" outlineLevel="1">
      <c r="A32" s="23"/>
      <c r="B32" s="24"/>
      <c r="C32" s="24"/>
      <c r="D32" s="24"/>
      <c r="E32" s="123"/>
      <c r="F32" s="26"/>
      <c r="G32" s="24"/>
      <c r="H32" s="156"/>
      <c r="I32" s="110">
        <v>1.0</v>
      </c>
      <c r="J32" s="146">
        <v>0.0</v>
      </c>
      <c r="K32" s="147"/>
      <c r="L32" s="148">
        <v>0.0</v>
      </c>
      <c r="M32" s="147"/>
      <c r="N32" s="146">
        <v>0.0</v>
      </c>
      <c r="O32" s="149"/>
      <c r="P32" s="146">
        <v>0.0</v>
      </c>
      <c r="Q32" s="149"/>
      <c r="R32" s="146">
        <v>0.0</v>
      </c>
      <c r="S32" s="149"/>
      <c r="T32" s="146">
        <v>0.0</v>
      </c>
      <c r="U32" s="114"/>
      <c r="V32" s="26"/>
      <c r="W32" s="116"/>
      <c r="X32" s="26"/>
      <c r="Y32" s="159"/>
      <c r="Z32" s="26"/>
      <c r="AA32" s="159"/>
      <c r="AB32" s="26"/>
      <c r="AC32" s="159"/>
      <c r="AD32" s="26"/>
      <c r="AE32" s="159"/>
      <c r="AF32" s="26"/>
      <c r="AG32" s="159"/>
      <c r="AH32" s="26"/>
      <c r="AI32" s="159"/>
      <c r="AJ32" s="26"/>
      <c r="AK32" s="159"/>
      <c r="AM32" s="182"/>
      <c r="AN32" s="26"/>
      <c r="AO32" s="114"/>
      <c r="AP32" s="115"/>
      <c r="AQ32" s="114"/>
      <c r="AR32" s="115"/>
      <c r="AS32" s="114"/>
      <c r="AT32" s="26"/>
      <c r="AU32" s="159"/>
      <c r="AV32" s="33"/>
      <c r="AW32" s="183"/>
      <c r="AX32" s="26"/>
      <c r="AY32" s="159"/>
      <c r="AZ32" s="26"/>
      <c r="BA32" s="159"/>
      <c r="BB32" s="26"/>
      <c r="BC32" s="159"/>
      <c r="BD32" s="26"/>
      <c r="BE32" s="159"/>
      <c r="BF32" s="26"/>
      <c r="BG32" s="159"/>
      <c r="BI32" s="121"/>
      <c r="BK32" s="22"/>
    </row>
    <row r="33" ht="13.5" hidden="1" customHeight="1" outlineLevel="1">
      <c r="A33" s="23"/>
      <c r="B33" s="24"/>
      <c r="C33" s="24"/>
      <c r="D33" s="24"/>
      <c r="E33" s="123"/>
      <c r="F33" s="26"/>
      <c r="G33" s="24"/>
      <c r="H33" s="124"/>
      <c r="I33" s="125">
        <f>I30</f>
        <v>76</v>
      </c>
      <c r="J33" s="160" t="str">
        <f t="array" ref="J33">IF(MAX(IF((Main!$D$6:$D$798="ДПМУ")*(Main!$B$6:$B$798='Стан БГ'!C30)*(Main!$C$6:$C$798='Стан БГ'!H32),Main!$A$6:$A$798,0),L33,N33,P33,R12,T33)&gt;0,MAX(IF((Main!$D$6:$D$798="ДПМУ")*(Main!$B$6:$B$798='Стан БГ'!C30)*(Main!$C$6:$C$798='Стан БГ'!H32),Main!$A$6:$A$798,0),L33,N33,P33,R33,T33),"")</f>
        <v/>
      </c>
      <c r="K33" s="161">
        <f>K30</f>
        <v>61</v>
      </c>
      <c r="L33" s="162" t="str">
        <f t="array" ref="L33">IF(MAX(IF((Main!$D$6:$D$798="ДСМУ")*(Main!$B$6:$B$798='Стан БГ'!C30)*(Main!$C$6:$C$798='Стан БГ'!H32),Main!$A$6:$A$798,0),N33,R12,T33)&gt;0,MAX(IF((Main!$D$6:$D$798="ДСМУ")*(Main!$B$6:$B$798='Стан БГ'!C30)*(Main!$C$6:$C$798='Стан БГ'!H32),Main!$A$6:$A$798,0),N33,R33,T33),"")</f>
        <v/>
      </c>
      <c r="M33" s="161">
        <f>M30</f>
        <v>46</v>
      </c>
      <c r="N33" s="128" t="str">
        <f t="array" ref="N33">IF(MAX(IF((Main!$D$6:$D$798="ДВМП")*(Main!$B$6:$B$798='Стан БГ'!C30)*(Main!$C$6:$C$798='Стан БГ'!H32),Main!$A$6:$A$798,0),T33)&gt;0,MAX(IF((Main!$D$6:$D$798="ДВМП")*(Main!$B$6:$B$798='Стан БГ'!C30)*(Main!$C$6:$C$798='Стан БГ'!H32),Main!$A$6:$A$798,0),T33),"")</f>
        <v/>
      </c>
      <c r="O33" s="163">
        <f>O30</f>
        <v>61</v>
      </c>
      <c r="P33" s="128" t="str">
        <f t="array" ref="P33">IF(MAX(IF((Main!$D$6:$D$798="НПМУ")*(Main!$B$6:$B$798='Стан БГ'!C30)*(Main!$C$6:$C$798='Стан БГ'!H32),Main!$A$6:$A$798,0),R12,T33)&gt;0,MAX(IF((Main!$D$6:$D$798="НПМУ")*(Main!$B$6:$B$798='Стан БГ'!C30)*(Main!$C$6:$C$798='Стан БГ'!H32),Main!$A$6:$A$798,0),R33,T33),"")</f>
        <v/>
      </c>
      <c r="Q33" s="161">
        <f>Q30</f>
        <v>46</v>
      </c>
      <c r="R33" s="128" t="str">
        <f t="array" ref="R33">IF(MAX(IF((Main!$D$6:$D$798="НСМУ")*(Main!$B$6:$B$798='Стан БГ'!C30)*(Main!$C$6:$C$798='Стан БГ'!H32),Main!$A$6:$A$798,0),T33)&gt;0,MAX(IF((Main!$D$6:$D$798="НСМУ")*(Main!$B$6:$B$798='Стан БГ'!C30)*(Main!$C$6:$C$798='Стан БГ'!H32),Main!$A$6:$A$798,0),T33),"")</f>
        <v/>
      </c>
      <c r="S33" s="161">
        <f>S30</f>
        <v>30</v>
      </c>
      <c r="T33" s="164" t="str">
        <f t="array" ref="T33">IF(MAX(IF((Main!$D$6:$D$798="НВМП")*(Main!$B$6:$B$798='Стан БГ'!C30)*(Main!$C$6:$C$798='Стан БГ'!H32),Main!$A$6:$A$798,0))&gt;0,MAX(IF((Main!$D$6:$D$798="НВМП")*(Main!$B$6:$B$798='Стан БГ'!C30)*(Main!$C$6:$C$798='Стан БГ'!H32),Main!$A$6:$A$798,0)),"")</f>
        <v/>
      </c>
      <c r="U33" s="131" t="b">
        <f>U30</f>
        <v>0</v>
      </c>
      <c r="V33" s="26"/>
      <c r="W33" s="133" t="b">
        <f>IF($D29=1,W$8,IF($D29=2,W$9,IF($D29=3,W$10)))</f>
        <v>0</v>
      </c>
      <c r="X33" s="26"/>
      <c r="Y33" s="135" t="b">
        <f>IF($D29=1,Y$8,IF($D29=2,Y$9,IF($D29=3,Y$10)))</f>
        <v>0</v>
      </c>
      <c r="Z33" s="26"/>
      <c r="AA33" s="135" t="b">
        <f>IF($D29=1,AA$8,IF($D29=2,AA$9,IF($D29=3,AA$10)))</f>
        <v>0</v>
      </c>
      <c r="AB33" s="26"/>
      <c r="AC33" s="135" t="b">
        <f>IF($D29=1,AC$8,IF($D29=2,AC$9,IF($D29=3,AC$10)))</f>
        <v>0</v>
      </c>
      <c r="AD33" s="26"/>
      <c r="AE33" s="135" t="b">
        <f>AE30</f>
        <v>0</v>
      </c>
      <c r="AF33" s="26"/>
      <c r="AG33" s="135" t="b">
        <f>AG30</f>
        <v>0</v>
      </c>
      <c r="AH33" s="26"/>
      <c r="AI33" s="135" t="b">
        <f>AI30</f>
        <v>0</v>
      </c>
      <c r="AJ33" s="26"/>
      <c r="AK33" s="135" t="b">
        <f>AK30</f>
        <v>0</v>
      </c>
      <c r="AM33" s="177" t="b">
        <f>AM30</f>
        <v>0</v>
      </c>
      <c r="AN33" s="26"/>
      <c r="AO33" s="131" t="b">
        <f>IF($D32=1,AO$8,IF($D32=2,AO$9,IF($D32=3,AO$10)))</f>
        <v>0</v>
      </c>
      <c r="AP33" s="128"/>
      <c r="AQ33" s="135" t="b">
        <f>IF($D32=1,AQ$8,IF($D32=2,AQ$9,IF($D32=3,AQ$10)))</f>
        <v>0</v>
      </c>
      <c r="AR33" s="128"/>
      <c r="AS33" s="131" t="b">
        <f>IF($D32=1,AS$8,IF($D32=2,AS$9,IF($D32=3,AS$10)))</f>
        <v>0</v>
      </c>
      <c r="AT33" s="26"/>
      <c r="AU33" s="135" t="b">
        <f>IF($D32=1,AU$8,IF($D32=2,AU$9,IF($D32=3,AU$10)))</f>
        <v>0</v>
      </c>
      <c r="AV33" s="33"/>
      <c r="AW33" s="179" t="b">
        <f>IF($D29=1,AW$8,IF($D29=2,AW$9,IF($D29=3,AW$10)))</f>
        <v>0</v>
      </c>
      <c r="AX33" s="26"/>
      <c r="AY33" s="135" t="b">
        <f>IF($D29=1,AY$8,IF($D29=2,AY$9,IF($D29=3,AY$10)))</f>
        <v>0</v>
      </c>
      <c r="AZ33" s="26"/>
      <c r="BA33" s="135" t="b">
        <f>IF($D29=1,BA$8,IF($D29=2,BA$9,IF($D29=3,BA$10)))</f>
        <v>0</v>
      </c>
      <c r="BB33" s="26"/>
      <c r="BC33" s="135" t="b">
        <f>IF($D29=1,BC$8,IF($D29=2,BC$9,IF($D29=3,BC$10)))</f>
        <v>0</v>
      </c>
      <c r="BD33" s="26"/>
      <c r="BE33" s="135" t="b">
        <f>BE30</f>
        <v>0</v>
      </c>
      <c r="BF33" s="26"/>
      <c r="BG33" s="135" t="b">
        <f>BG30</f>
        <v>0</v>
      </c>
      <c r="BI33" s="143" t="b">
        <f>BI30</f>
        <v>0</v>
      </c>
      <c r="BK33" s="22"/>
    </row>
    <row r="34" ht="3.75" hidden="1" customHeight="1" outlineLevel="1">
      <c r="A34" s="185"/>
      <c r="B34" s="186"/>
      <c r="C34" s="187"/>
      <c r="D34" s="186"/>
      <c r="E34" s="188"/>
      <c r="F34" s="189"/>
      <c r="G34" s="186"/>
      <c r="H34" s="190"/>
      <c r="I34" s="191">
        <f>IF(AND(J29=1,OR($G29="вп",$G29="вд",$G29="шп",$G29="оа")),1,0)</f>
        <v>0</v>
      </c>
      <c r="J34" s="146">
        <f>IF(J33="",0,IF($C$2&lt;(I33+J33)-15,2,IF($C$2&lt;(I33+J33),1,"0")))</f>
        <v>0</v>
      </c>
      <c r="K34" s="147"/>
      <c r="L34" s="148">
        <f>IF(L33="",0,IF($C$2&lt;(K33+L33)-15,2,IF($C$2&lt;(K33+L33),1,"0")))</f>
        <v>0</v>
      </c>
      <c r="M34" s="147"/>
      <c r="N34" s="146">
        <f>IF(N33="",0,IF($C$2&lt;(M33+N33)-15,2,IF($C$2&lt;(M33+N33),1,"0")))</f>
        <v>0</v>
      </c>
      <c r="O34" s="149"/>
      <c r="P34" s="146">
        <f>IF(P33="",0,IF($C$2&lt;(O33+P33)-15,2,IF($C$2&lt;(O33+P33),1,"0")))</f>
        <v>0</v>
      </c>
      <c r="Q34" s="149"/>
      <c r="R34" s="146">
        <f>IF(R33="",0,IF($C$2&lt;(Q33+R33)-15,2,IF($C$2&lt;(Q33+R33),1,"0")))</f>
        <v>0</v>
      </c>
      <c r="S34" s="149"/>
      <c r="T34" s="146">
        <f>IF(T33="",0,IF($C$2&lt;(S33+T33)-15,2,IF($C$2&lt;(S33+T33),1,"0")))</f>
        <v>0</v>
      </c>
      <c r="U34" s="192"/>
      <c r="V34" s="146">
        <f>IF(V30 = "",0,IF($C$2&lt;(U30+V30)-15,2,IF($C$2&lt;(U30+V30),1,"0")))</f>
        <v>0</v>
      </c>
      <c r="W34" s="193"/>
      <c r="X34" s="146">
        <f>IF(X30 = "",0,IF($C$2&lt;(W30+X30)-15,2,IF($C$2&lt;(W30+X30),1,"0")))</f>
        <v>0</v>
      </c>
      <c r="Y34" s="192"/>
      <c r="Z34" s="146">
        <f t="shared" ref="Z34:AF34" si="1">IF(Z30 = "",0,IF($C$2&lt;(Y30+Z30)-15,2,IF($C$2&lt;(Y30+Z30),1,"0")))</f>
        <v>0</v>
      </c>
      <c r="AA34" s="146" t="str">
        <f t="shared" si="1"/>
        <v>0</v>
      </c>
      <c r="AB34" s="146">
        <f t="shared" si="1"/>
        <v>0</v>
      </c>
      <c r="AC34" s="146" t="str">
        <f t="shared" si="1"/>
        <v>0</v>
      </c>
      <c r="AD34" s="146">
        <f t="shared" si="1"/>
        <v>0</v>
      </c>
      <c r="AE34" s="146" t="str">
        <f t="shared" si="1"/>
        <v>0</v>
      </c>
      <c r="AF34" s="146">
        <f t="shared" si="1"/>
        <v>0</v>
      </c>
      <c r="AG34" s="192"/>
      <c r="AH34" s="146">
        <f>IF(AH30 = "",0,IF($C$2&lt;(AG30+AH30)-15,2,IF($C$2&lt;(AG30+AH30),1,"0")))</f>
        <v>0</v>
      </c>
      <c r="AI34" s="192"/>
      <c r="AJ34" s="146">
        <f>IF(AJ30 = "",0,IF($C$2&lt;(AI30+AJ30)-15,2,IF($C$2&lt;(AI30+AJ30),1,"0")))</f>
        <v>0</v>
      </c>
      <c r="AK34" s="192"/>
      <c r="AL34" s="146">
        <f>IF(AL30 = "",0,IF($C$2&lt;(AK30+AL30)-15,2,IF($C$2&lt;(AK30+AL30),1,"0")))</f>
        <v>0</v>
      </c>
      <c r="AM34" s="194"/>
      <c r="AN34" s="146">
        <f>IF(AN30 = "",0,IF($C$2&lt;(AM30+AN30)-15,2,IF($C$2&lt;(AM30+AN30),1,"0")))</f>
        <v>0</v>
      </c>
      <c r="AO34" s="195"/>
      <c r="AP34" s="146">
        <f>IF(AP33 = "",0,IF($C$2&lt;(AO30+AP33)-15,2,IF($C$2&lt;(AO30+AP33),1,"0")))</f>
        <v>0</v>
      </c>
      <c r="AQ34" s="150"/>
      <c r="AR34" s="146">
        <f>IF(AR33 = "",0,IF($C$2&lt;(AQ30+AR33)-15,2,IF($C$2&lt;(AQ30+AR33),1,"0")))</f>
        <v>0</v>
      </c>
      <c r="AS34" s="195"/>
      <c r="AT34" s="146">
        <f>IF(AT30 = "",0,IF($C$2&lt;(AS30+AT30)-15,2,IF($C$2&lt;(AS30+AT30),1,"0")))</f>
        <v>0</v>
      </c>
      <c r="AU34" s="150"/>
      <c r="AV34" s="171">
        <f>IF(AV30 = "",0,IF($C$2&lt;(AU30+AV30)-15,2,IF($C$2&lt;(AU30+AV30),1,"0")))</f>
        <v>0</v>
      </c>
      <c r="AW34" s="154"/>
      <c r="AX34" s="146">
        <f>IF(AX30 = "",0,IF($C$2&lt;(AW30+AX30)-15,2,IF($C$2&lt;(AW30+AX30),1,"0")))</f>
        <v>0</v>
      </c>
      <c r="AY34" s="147"/>
      <c r="AZ34" s="146">
        <f>IF(AZ30 = "",0,IF($C$2&lt;(AY30+AZ30)-15,2,IF($C$2&lt;(AY30+AZ30),1,"0")))</f>
        <v>0</v>
      </c>
      <c r="BA34" s="147"/>
      <c r="BB34" s="146">
        <f>IF(BB30 = "",0,IF($C$2&lt;(BA30+BB30)-15,2,IF($C$2&lt;(BA30+BB30),1,"0")))</f>
        <v>0</v>
      </c>
      <c r="BC34" s="147"/>
      <c r="BD34" s="146">
        <f>IF(BD30 = "",0,IF($C$2&lt;(BC30+BD30)-15,2,IF($C$2&lt;(BC30+BD30),1,"0")))</f>
        <v>0</v>
      </c>
      <c r="BE34" s="147"/>
      <c r="BF34" s="146">
        <f>IF(BF30 = "",0,IF($C$2&lt;(BE30+BF30)-15,2,IF($C$2&lt;(BE30+BF30),1,"0")))</f>
        <v>0</v>
      </c>
      <c r="BG34" s="147"/>
      <c r="BH34" s="172">
        <f>IF(BH30 = "",0,IF($C$2&lt;(BG30+BH30)-15,2,IF($C$2&lt;(BG30+BH30),1,"0")))</f>
        <v>0</v>
      </c>
      <c r="BI34" s="173"/>
      <c r="BJ34" s="172">
        <f>IF(BJ30 = "",0,IF($C$2&lt;(BI30+BJ30)-15,2,IF($C$2&lt;(BI30+BJ30),1,"0")))</f>
        <v>0</v>
      </c>
      <c r="BK34" s="22"/>
    </row>
    <row r="35" ht="1.5" customHeight="1" collapsed="1">
      <c r="A35" s="196"/>
      <c r="B35" s="197"/>
      <c r="C35" s="198"/>
      <c r="D35" s="199"/>
      <c r="E35" s="200"/>
      <c r="F35" s="201"/>
      <c r="G35" s="202"/>
      <c r="H35" s="203"/>
      <c r="I35" s="204"/>
      <c r="J35" s="205"/>
      <c r="K35" s="206"/>
      <c r="L35" s="207"/>
      <c r="M35" s="206"/>
      <c r="N35" s="208"/>
      <c r="O35" s="204"/>
      <c r="P35" s="205"/>
      <c r="Q35" s="206"/>
      <c r="R35" s="205"/>
      <c r="S35" s="206"/>
      <c r="T35" s="209"/>
      <c r="U35" s="208"/>
      <c r="V35" s="205"/>
      <c r="W35" s="210"/>
      <c r="X35" s="205"/>
      <c r="Y35" s="208"/>
      <c r="Z35" s="205"/>
      <c r="AA35" s="208"/>
      <c r="AB35" s="205"/>
      <c r="AC35" s="208"/>
      <c r="AD35" s="205"/>
      <c r="AE35" s="208"/>
      <c r="AF35" s="205"/>
      <c r="AG35" s="208"/>
      <c r="AH35" s="205"/>
      <c r="AI35" s="208"/>
      <c r="AJ35" s="205"/>
      <c r="AK35" s="208"/>
      <c r="AL35" s="211"/>
      <c r="AM35" s="208"/>
      <c r="AN35" s="205"/>
      <c r="AO35" s="206"/>
      <c r="AP35" s="205"/>
      <c r="AQ35" s="206"/>
      <c r="AR35" s="205"/>
      <c r="AS35" s="206"/>
      <c r="AT35" s="205"/>
      <c r="AU35" s="206"/>
      <c r="AV35" s="211"/>
      <c r="AW35" s="204"/>
      <c r="AX35" s="205"/>
      <c r="AY35" s="208"/>
      <c r="AZ35" s="205"/>
      <c r="BA35" s="208"/>
      <c r="BB35" s="205"/>
      <c r="BC35" s="208"/>
      <c r="BD35" s="205"/>
      <c r="BE35" s="208"/>
      <c r="BF35" s="205"/>
      <c r="BG35" s="208"/>
      <c r="BH35" s="208"/>
      <c r="BI35" s="212"/>
      <c r="BJ35" s="208"/>
      <c r="BK35" s="213"/>
    </row>
    <row r="36" ht="3.75" customHeight="1">
      <c r="A36" s="214">
        <v>1.0</v>
      </c>
      <c r="B36" s="215" t="s">
        <v>63</v>
      </c>
      <c r="C36" s="216"/>
      <c r="D36" s="217">
        <v>1.0</v>
      </c>
      <c r="E36" s="218">
        <v>1.0</v>
      </c>
      <c r="F36" s="219">
        <f>IF(E36=1,1.5,1)</f>
        <v>1.5</v>
      </c>
      <c r="G36" s="220"/>
      <c r="H36" s="221" t="s">
        <v>53</v>
      </c>
      <c r="I36" s="222">
        <v>1.0</v>
      </c>
      <c r="J36" s="223">
        <f>IF(OR(J38=1,J38=2),1,0)</f>
        <v>0</v>
      </c>
      <c r="K36" s="222">
        <v>1.0</v>
      </c>
      <c r="L36" s="224">
        <f>IF(OR(L38=1,L38=2),1,0)</f>
        <v>0</v>
      </c>
      <c r="M36" s="222">
        <v>1.0</v>
      </c>
      <c r="N36" s="225">
        <f>IF(OR(N38=1,N38=2),1,0)</f>
        <v>0</v>
      </c>
      <c r="O36" s="222">
        <v>1.0</v>
      </c>
      <c r="P36" s="223">
        <f>IF(OR(P38=1,P38=2),1,0)</f>
        <v>0</v>
      </c>
      <c r="Q36" s="222">
        <v>1.0</v>
      </c>
      <c r="R36" s="223">
        <f>IF(OR(R38=1,R38=2),1,0)</f>
        <v>0</v>
      </c>
      <c r="S36" s="222">
        <v>1.0</v>
      </c>
      <c r="T36" s="226">
        <f>IF(OR(T38=1,T38=2),1,0)</f>
        <v>0</v>
      </c>
      <c r="U36" s="227"/>
      <c r="V36" s="223"/>
      <c r="W36" s="228"/>
      <c r="X36" s="223"/>
      <c r="Y36" s="229"/>
      <c r="Z36" s="223"/>
      <c r="AA36" s="229"/>
      <c r="AB36" s="223"/>
      <c r="AC36" s="229"/>
      <c r="AD36" s="223"/>
      <c r="AE36" s="229"/>
      <c r="AF36" s="223"/>
      <c r="AG36" s="229"/>
      <c r="AH36" s="223"/>
      <c r="AI36" s="229"/>
      <c r="AJ36" s="223"/>
      <c r="AK36" s="229"/>
      <c r="AL36" s="226"/>
      <c r="AM36" s="227"/>
      <c r="AN36" s="223"/>
      <c r="AO36" s="229"/>
      <c r="AP36" s="223"/>
      <c r="AQ36" s="229"/>
      <c r="AR36" s="223"/>
      <c r="AS36" s="229"/>
      <c r="AT36" s="223"/>
      <c r="AU36" s="229"/>
      <c r="AV36" s="226"/>
      <c r="AW36" s="227"/>
      <c r="AX36" s="223"/>
      <c r="AY36" s="229"/>
      <c r="AZ36" s="223"/>
      <c r="BA36" s="229"/>
      <c r="BB36" s="223"/>
      <c r="BC36" s="229"/>
      <c r="BD36" s="223"/>
      <c r="BE36" s="229"/>
      <c r="BF36" s="223"/>
      <c r="BG36" s="229"/>
      <c r="BH36" s="225"/>
      <c r="BI36" s="230"/>
      <c r="BJ36" s="225"/>
      <c r="BK36" s="22"/>
    </row>
    <row r="37" ht="13.5" customHeight="1">
      <c r="A37" s="23"/>
      <c r="B37" s="24"/>
      <c r="C37" s="122" t="s">
        <v>64</v>
      </c>
      <c r="D37" s="24"/>
      <c r="E37" s="123"/>
      <c r="F37" s="26"/>
      <c r="G37" s="24"/>
      <c r="H37" s="124"/>
      <c r="I37" s="125">
        <f>IF($D36=1,I$8,IF($D36=2,I$9,I$10))</f>
        <v>107</v>
      </c>
      <c r="J37" s="128">
        <f t="array" ref="J37">IF(MAX(IF((Main!$D$6:$D$798="ДПМУ")*(Main!$B$6:$B$798='Стан БГ'!C37)*(Main!$C$6:$C$798='Стан БГ'!H36),Main!$A$6:$A$798,0),L37,N37,P37,R37,T37)&gt;0,MAX(IF((Main!$D$6:$D$798="ДПМУ")*(Main!$B$6:$B$798='Стан БГ'!C37)*(Main!$C$6:$C$798='Стан БГ'!H36),Main!$A$6:$A$798,0),L37,N37,P37,R37,T37),"14.05.2022")</f>
        <v>44695</v>
      </c>
      <c r="K37" s="231">
        <f>IF($D36=1,K$8,IF($D36=2,K$9,K$10))</f>
        <v>92</v>
      </c>
      <c r="L37" s="128">
        <f t="array" ref="L37">IF(MAX(IF((Main!$D$6:$D$798="ДСМУ")*(Main!$B$6:$B$798='Стан БГ'!C37)*(Main!$C$6:$C$798='Стан БГ'!H36),Main!$A$6:$A$798,0),N37,R37,T37)&gt;0,MAX(IF((Main!$D$6:$D$798="ДСМУ")*(Main!$B$6:$B$798='Стан БГ'!C37)*(Main!$C$6:$C$798='Стан БГ'!H36),Main!$A$6:$A$798,0),N37,R37,T37),Date(2022,5,14))</f>
        <v>44695</v>
      </c>
      <c r="M37" s="231">
        <f>IF($D36=1,M$8,IF($D36=2,M$9,M$10))</f>
        <v>77</v>
      </c>
      <c r="N37" s="232" t="str">
        <f t="array" ref="N37">IF(MAX(IF((Main!$D$6:$D$798="ДВМП")*(Main!$B$6:$B$798='Стан БГ'!C37)*(Main!$C$6:$C$798='Стан БГ'!H36),Main!$A$6:$A$798,0),T37)&gt;0,MAX(IF((Main!$D$6:$D$798="ДВМП")*(Main!$B$6:$B$798='Стан БГ'!C37)*(Main!$C$6:$C$798='Стан БГ'!H36),Main!$A$6:$A$798,0),T37),"")</f>
        <v/>
      </c>
      <c r="O37" s="231">
        <f>IF($D36=1,O$8,IF($D36=2,O$9,O$10))</f>
        <v>92</v>
      </c>
      <c r="P37" s="128" t="str">
        <f t="array" ref="P37">IF(MAX(IF((Main!$D$6:$D$798="НПМУ")*(Main!$B$6:$B$798='Стан БГ'!C37)*(Main!$C$6:$C$798='Стан БГ'!H36),Main!$A$6:$A$798,0),R37,T37)&gt;0,MAX(IF((Main!$D$6:$D$798="НПМУ")*(Main!$B$6:$B$798='Стан БГ'!C37)*(Main!$C$6:$C$798='Стан БГ'!H36),Main!$A$6:$A$798,0),R37,T37),"23.04.2022")</f>
        <v>23.04.2022</v>
      </c>
      <c r="Q37" s="231">
        <f>IF($D36=1,Q$8,IF($D36=2,Q$9,Q$10))</f>
        <v>77</v>
      </c>
      <c r="R37" s="128" t="str">
        <f t="array" ref="R37">IF(MAX(IF((Main!$D$6:$D$798="НСМУ")*(Main!$B$6:$B$798='Стан БГ'!C37)*(Main!$C$6:$C$798='Стан БГ'!H36),Main!$A$6:$A$798,0),T37)&gt;0,MAX(IF((Main!$D$6:$D$798="НСМУ")*(Main!$B$6:$B$798='Стан БГ'!C37)*(Main!$C$6:$C$798='Стан БГ'!H36),Main!$A$6:$A$798,0),T37),"23.04.2022")</f>
        <v>23.04.2022</v>
      </c>
      <c r="S37" s="231">
        <f>IF($D36=1,S$8,IF($D36=2,S$9,S$10))</f>
        <v>61</v>
      </c>
      <c r="T37" s="232" t="str">
        <f t="array" ref="T37">IF(MAX(IF((Main!$D$6:$D$798="НВМП")*(Main!$B$6:$B$798='Стан БГ'!C37)*(Main!$C$6:$C$798='Стан БГ'!H36),Main!$A$6:$A$798,0))&gt;0,MAX(IF((Main!$D$6:$D$798="НВМП")*(Main!$B$6:$B$798='Стан БГ'!C37)*(Main!$C$6:$C$798='Стан БГ'!H36),Main!$A$6:$A$798,0)),"")</f>
        <v/>
      </c>
      <c r="U37" s="141">
        <f>IF($D36=1,U$8,IF($D36=2,U$9,IF($D36=3,U$10)))</f>
        <v>365</v>
      </c>
      <c r="V37" s="139"/>
      <c r="W37" s="133">
        <f>IF($D36=1,W$8,IF($D36=2,W$9,IF($D36=3,W$10)))</f>
        <v>365</v>
      </c>
      <c r="X37" s="134">
        <v>45763.0</v>
      </c>
      <c r="Y37" s="135">
        <f>IF($D36=1,Y$8,IF($D36=2,Y$9,IF($D36=3,Y$10)))</f>
        <v>365</v>
      </c>
      <c r="Z37" s="134">
        <v>45763.0</v>
      </c>
      <c r="AA37" s="135">
        <f>IF($D36=1,AA$8,IF($D36=2,AA$9,IF($D36=3,AA$10)))</f>
        <v>365</v>
      </c>
      <c r="AB37" s="134"/>
      <c r="AC37" s="135">
        <f>IF($D36=1,AC$8,IF($D36=2,AC$9,IF($D36=3,AC$10)))</f>
        <v>365</v>
      </c>
      <c r="AD37" s="134">
        <v>45763.0</v>
      </c>
      <c r="AE37" s="135">
        <f>IF($D36=1,AE$8,IF($D36=2,AE$9,IF($D36=3,AE$10)))</f>
        <v>365</v>
      </c>
      <c r="AF37" s="134">
        <v>45763.0</v>
      </c>
      <c r="AG37" s="135">
        <f>IF($D36=1,AG$8,IF($D36=2,AG$9,IF($D36=3,AG$10)))</f>
        <v>365</v>
      </c>
      <c r="AH37" s="134">
        <v>45763.0</v>
      </c>
      <c r="AI37" s="135">
        <f>IF($D36=1,AI$8,IF($D36=2,AI$9,IF($D36=3,AI$10)))</f>
        <v>365</v>
      </c>
      <c r="AJ37" s="134">
        <v>45763.0</v>
      </c>
      <c r="AK37" s="135">
        <f>IF($D36=1,AK$8,IF($D36=2,AK$9,IF($D36=3,AK$10)))</f>
        <v>365</v>
      </c>
      <c r="AL37" s="178"/>
      <c r="AM37" s="141">
        <f>IF($D36=1,AM$8,IF($D36=2,AM$9,IF($D36=3,AM$10)))</f>
        <v>365</v>
      </c>
      <c r="AN37" s="134">
        <v>45653.0</v>
      </c>
      <c r="AO37" s="131">
        <f>IF($D36=1,AO$8,IF($D36=2,AO$9,IF($D36=3,AO$10)))</f>
        <v>184</v>
      </c>
      <c r="AP37" s="128">
        <v>45761.0</v>
      </c>
      <c r="AQ37" s="135">
        <f>IF($D36=1,AQ$8,IF($D36=2,AQ$9,IF($D36=3,AQ$10)))</f>
        <v>365</v>
      </c>
      <c r="AR37" s="128">
        <v>45553.0</v>
      </c>
      <c r="AS37" s="131">
        <f>IF($D36=1,AS$8,IF($D36=2,AS$9,IF($D36=3,AS$10)))</f>
        <v>365</v>
      </c>
      <c r="AT37" s="134">
        <v>45682.0</v>
      </c>
      <c r="AU37" s="135">
        <f>IF($D36=1,AU$8,IF($D36=2,AU$9,IF($D36=3,AU$10)))</f>
        <v>1095</v>
      </c>
      <c r="AV37" s="178" t="s">
        <v>65</v>
      </c>
      <c r="AW37" s="179">
        <f>IF($D36=1,AW$8,IF($D36=2,AW$9,IF($D36=3,AW$10)))</f>
        <v>365</v>
      </c>
      <c r="AX37" s="134" t="str">
        <f t="array" ref="AX37">IF(MAX(IF((ISNUMBER(SEARCH("Складний пілотаж",Main!$M$6:$M$798)))*(Main!$B$6:$B$798='Стан БГ'!C37),Main!$A$6:$A$798,0))&gt;0,MAX(IF((ISNUMBER(SEARCH("Складний пілотаж",Main!$M$6:$M$798)))*(Main!$B$6:$B$798='Стан БГ'!C37),Main!$A$6:$A$798,0)),"")</f>
        <v/>
      </c>
      <c r="AY37" s="135">
        <f>IF($D36=1,AY$8,IF($D36=2,AY$9,IF($D36=3,AY$10)))</f>
        <v>365</v>
      </c>
      <c r="AZ37" s="134" t="str">
        <f t="array" ref="AZ37">IF(MAX(IF((ISNUMBER(SEARCH("Мала висота",Main!$M$6:$M$798)))*(Main!$B$6:$B$798='Стан БГ'!C37),Main!$A$6:$A$798,0))&gt;0,MAX(IF((ISNUMBER(SEARCH("Мала висота",Main!$M$6:$M$798)))*(Main!$B$6:$B$798='Стан БГ'!C37),Main!$A$6:$A$798,0)),"")</f>
        <v/>
      </c>
      <c r="BA37" s="135">
        <f>IF($D36=1,BA$8,IF($D36=2,BA$9,IF($D36=3,BA$10)))</f>
        <v>122</v>
      </c>
      <c r="BB37" s="134" t="str">
        <f t="array" ref="BB37">IF(MAX(IF((ISNUMBER(SEARCH("Гр. мала висота (ОНБ)",Main!$M$6:$M$798)))*(Main!$B$6:$B$798='Стан БГ'!C37),Main!$A$6:$A$798,0))&gt;0,MAX(IF((ISNUMBER(SEARCH("Гр. мала висота (ОНБ)",Main!$M$6:$M$798)))*(Main!$B$6:$B$798='Стан БГ'!C37),Main!$A$6:$A$798,0)),"")</f>
        <v/>
      </c>
      <c r="BC37" s="135">
        <f>IF($D36=1,BC$8,IF($D36=2,BC$9,IF($D36=3,BC$10)))</f>
        <v>184</v>
      </c>
      <c r="BD37" s="134" t="str">
        <f t="array" ref="BD37">IF(MAX(IF((ISNUMBER(SEARCH("Бойове застосування",Main!$M$6:$M$798)))*(Main!$B$6:$B$798='Стан БГ'!C37),Main!$A$6:$A$798,0))&gt;0,MAX(IF((ISNUMBER(SEARCH("Бойове застосування",Main!$M$6:$M$798)))*(Main!$B$6:$B$798='Стан БГ'!C37),Main!$A$6:$A$798,0)),"")</f>
        <v/>
      </c>
      <c r="BE37" s="135">
        <f>IF($D36=1,BE$8,IF($D36=2,BE$9,IF($D36=3,BE$10)))</f>
        <v>184</v>
      </c>
      <c r="BF37" s="134" t="str">
        <f t="array" ref="BF37">IF(MAX(IF((ISNUMBER(SEARCH("Групова злітаність",Main!$M$6:$M$798)))*(Main!$B$6:$B$798='Стан БГ'!C37),Main!$A$6:$A$798,0))&gt;0,MAX(IF((ISNUMBER(SEARCH("Групова злітаність",Main!$M$6:$M$798)))*(Main!$B$6:$B$798='Стан БГ'!C37),Main!$A$6:$A$798,0)),"")</f>
        <v/>
      </c>
      <c r="BG37" s="135">
        <f>IF($D36=1,BG$8,IF($D36=2,BG$9,IF($D36=3,BG$10)))</f>
        <v>365</v>
      </c>
      <c r="BH37" s="176" t="str">
        <f t="array" ref="BH37">IF(MAX(IF((ISNUMBER(SEARCH("На десантування",Main!$M$6:$M$798)))*(Main!$B$6:$B$798='Стан БГ'!C37),Main!$A$6:$A$798,0))&gt;0,MAX(IF((ISNUMBER(SEARCH("На десантування",Main!$M$6:$M$798)))*(Main!$B$6:$B$798='Стан БГ'!C37),Main!$A$6:$A$798,0)),"")</f>
        <v/>
      </c>
      <c r="BI37" s="143">
        <f>IF($D36=1,BI$8,IF($D36=2,BI$9,IF($D36=3,BI$10)))</f>
        <v>184</v>
      </c>
      <c r="BJ37" s="142"/>
      <c r="BK37" s="22"/>
    </row>
    <row r="38" ht="4.5" customHeight="1">
      <c r="A38" s="23"/>
      <c r="B38" s="24"/>
      <c r="C38" s="24"/>
      <c r="D38" s="24"/>
      <c r="E38" s="123"/>
      <c r="F38" s="26"/>
      <c r="G38" s="24"/>
      <c r="H38" s="144"/>
      <c r="I38" s="145">
        <f>IF(AND(J36=1,OR($G36="вп",$G36="вд",$G36="шп",$G36="оа")),1,0)</f>
        <v>0</v>
      </c>
      <c r="J38" s="146" t="str">
        <f>IF(J37="",0,IF($C$2&lt;(I37+J37)-15,2,IF($C$2&lt;(I37+J37),1,"0")))</f>
        <v>0</v>
      </c>
      <c r="K38" s="147"/>
      <c r="L38" s="148" t="str">
        <f>IF(L37="",0,IF($C$2&lt;(K37+L37)-15,2,IF($C$2&lt;(K37+L37),1,"0")))</f>
        <v>0</v>
      </c>
      <c r="M38" s="147"/>
      <c r="N38" s="146">
        <f>IF(N37="",0,IF($C$2&lt;(M37+N37)-15,2,IF($C$2&lt;(M37+N37),1,"0")))</f>
        <v>0</v>
      </c>
      <c r="O38" s="149"/>
      <c r="P38" s="146" t="str">
        <f>IF(P37="",0,IF($C$2&lt;(O37+P37)-15,2,IF($C$2&lt;(O37+P37),1,"0")))</f>
        <v>0</v>
      </c>
      <c r="Q38" s="149"/>
      <c r="R38" s="146" t="str">
        <f>IF(R37="",0,IF($C$2&lt;(Q37+R37)-15,2,IF($C$2&lt;(Q37+R37),1,"0")))</f>
        <v>0</v>
      </c>
      <c r="S38" s="149"/>
      <c r="T38" s="171">
        <f>IF(T37="",0,IF($C$2&lt;(S37+T37)-15,2,IF($C$2&lt;(S37+T37),1,"0")))</f>
        <v>0</v>
      </c>
      <c r="U38" s="154"/>
      <c r="V38" s="26"/>
      <c r="W38" s="152"/>
      <c r="X38" s="26"/>
      <c r="Y38" s="153"/>
      <c r="Z38" s="26"/>
      <c r="AA38" s="153"/>
      <c r="AB38" s="26"/>
      <c r="AC38" s="153"/>
      <c r="AD38" s="26"/>
      <c r="AE38" s="153"/>
      <c r="AF38" s="26"/>
      <c r="AG38" s="153"/>
      <c r="AH38" s="26"/>
      <c r="AI38" s="153"/>
      <c r="AJ38" s="26"/>
      <c r="AK38" s="153"/>
      <c r="AL38" s="33"/>
      <c r="AM38" s="154"/>
      <c r="AN38" s="26"/>
      <c r="AO38" s="150"/>
      <c r="AP38" s="146" t="str">
        <f>IF(AP37 = "",0,IF($C$2&lt;(AO37+AP37)-15,2,IF($C$2&lt;(AO37+AP37),1,"0")))</f>
        <v>0</v>
      </c>
      <c r="AQ38" s="150"/>
      <c r="AR38" s="146" t="str">
        <f>IF(AR37 = "",0,IF($C$2&lt;(AQ37+AR37)-15,2,IF($C$2&lt;(AQ37+AR37),1,"0")))</f>
        <v>0</v>
      </c>
      <c r="AS38" s="150"/>
      <c r="AT38" s="26"/>
      <c r="AU38" s="153"/>
      <c r="AV38" s="33"/>
      <c r="AW38" s="181"/>
      <c r="AX38" s="26"/>
      <c r="AY38" s="153"/>
      <c r="AZ38" s="26"/>
      <c r="BA38" s="153"/>
      <c r="BB38" s="26"/>
      <c r="BC38" s="153"/>
      <c r="BD38" s="26"/>
      <c r="BE38" s="153"/>
      <c r="BF38" s="26"/>
      <c r="BG38" s="153"/>
      <c r="BI38" s="155"/>
      <c r="BK38" s="22"/>
    </row>
    <row r="39" ht="1.5" customHeight="1">
      <c r="A39" s="23"/>
      <c r="B39" s="24"/>
      <c r="C39" s="24"/>
      <c r="D39" s="24"/>
      <c r="E39" s="123"/>
      <c r="F39" s="26"/>
      <c r="G39" s="24"/>
      <c r="H39" s="156"/>
      <c r="I39" s="110">
        <v>1.0</v>
      </c>
      <c r="J39" s="233">
        <v>0.0</v>
      </c>
      <c r="K39" s="147"/>
      <c r="L39" s="234">
        <v>0.0</v>
      </c>
      <c r="M39" s="235"/>
      <c r="N39" s="236">
        <v>0.0</v>
      </c>
      <c r="O39" s="223"/>
      <c r="P39" s="233">
        <v>0.0</v>
      </c>
      <c r="Q39" s="223"/>
      <c r="R39" s="233">
        <v>0.0</v>
      </c>
      <c r="S39" s="223"/>
      <c r="T39" s="237">
        <v>0.0</v>
      </c>
      <c r="U39" s="238"/>
      <c r="V39" s="26"/>
      <c r="W39" s="116"/>
      <c r="X39" s="26"/>
      <c r="Y39" s="159"/>
      <c r="Z39" s="26"/>
      <c r="AA39" s="159"/>
      <c r="AB39" s="26"/>
      <c r="AC39" s="159"/>
      <c r="AD39" s="26"/>
      <c r="AE39" s="159"/>
      <c r="AF39" s="26"/>
      <c r="AG39" s="159"/>
      <c r="AH39" s="26"/>
      <c r="AI39" s="159"/>
      <c r="AJ39" s="26"/>
      <c r="AK39" s="159"/>
      <c r="AL39" s="33"/>
      <c r="AM39" s="120"/>
      <c r="AN39" s="26"/>
      <c r="AO39" s="114"/>
      <c r="AP39" s="115"/>
      <c r="AQ39" s="114"/>
      <c r="AR39" s="115"/>
      <c r="AS39" s="114"/>
      <c r="AT39" s="26"/>
      <c r="AU39" s="159"/>
      <c r="AV39" s="33"/>
      <c r="AW39" s="183"/>
      <c r="AX39" s="26"/>
      <c r="AY39" s="159"/>
      <c r="AZ39" s="26"/>
      <c r="BA39" s="159"/>
      <c r="BB39" s="26"/>
      <c r="BC39" s="159"/>
      <c r="BD39" s="26"/>
      <c r="BE39" s="159"/>
      <c r="BF39" s="26"/>
      <c r="BG39" s="159"/>
      <c r="BI39" s="121"/>
      <c r="BK39" s="22"/>
    </row>
    <row r="40" ht="15.0" customHeight="1">
      <c r="A40" s="23"/>
      <c r="B40" s="24"/>
      <c r="C40" s="24"/>
      <c r="D40" s="24"/>
      <c r="E40" s="123"/>
      <c r="F40" s="26"/>
      <c r="G40" s="24"/>
      <c r="H40" s="124"/>
      <c r="I40" s="125">
        <f>I37</f>
        <v>107</v>
      </c>
      <c r="J40" s="162" t="str">
        <f t="array" ref="J40">IF(MAX(IF((Main!$D$6:$D$798="ДПМУ")*(Main!$B$6:$B$798='Стан БГ'!C37)*(Main!$C$6:$C$798='Стан БГ'!H39),Main!$A$6:$A$798,0),L40,N40,P40,R40,T40)&gt;0,MAX(IF((Main!$D$6:$D$798="ДПМУ")*(Main!$B$6:$B$798='Стан БГ'!C37)*(Main!$C$6:$C$798='Стан БГ'!H39),Main!$A$6:$A$798,0),L40,N40,P40,R40,T40),"")</f>
        <v/>
      </c>
      <c r="K40" s="239">
        <f>K37</f>
        <v>92</v>
      </c>
      <c r="L40" s="240" t="str">
        <f t="array" ref="L40">IF(MAX(IF((Main!$D$6:$D$798="ДСМУ")*(Main!$B$6:$B$798='Стан БГ'!C37)*(Main!$C$6:$C$798='Стан БГ'!H39),Main!$A$6:$A$798,0),N40,R40,T40)&gt;0,MAX(IF((Main!$D$6:$D$798="ДСМУ")*(Main!$B$6:$B$798='Стан БГ'!C37)*(Main!$C$6:$C$798='Стан БГ'!H39),Main!$A$6:$A$798,0),N40,R40,T40),"")</f>
        <v/>
      </c>
      <c r="M40" s="241">
        <f>M37</f>
        <v>77</v>
      </c>
      <c r="N40" s="162" t="str">
        <f t="array" ref="N40">IF(MAX(IF((Main!$D$6:$D$798="ДВМП")*(Main!$B$6:$B$798='Стан БГ'!C37)*(Main!$C$6:$C$798='Стан БГ'!H39),Main!$A$6:$A$798,0),T40)&gt;0,MAX(IF((Main!$D$6:$D$798="ДВМП")*(Main!$B$6:$B$798='Стан БГ'!C37)*(Main!$C$6:$C$798='Стан БГ'!H39),Main!$A$6:$A$798,0),T40),"")</f>
        <v/>
      </c>
      <c r="O40" s="241">
        <f>O37</f>
        <v>92</v>
      </c>
      <c r="P40" s="162" t="str">
        <f t="array" ref="P40">IF(MAX(IF((Main!$D$6:$D$798="НПМУ")*(Main!$B$6:$B$798='Стан БГ'!C37)*(Main!$C$6:$C$798='Стан БГ'!H39),Main!$A$6:$A$798,0),R40,T40)&gt;0,MAX(IF((Main!$D$6:$D$798="НПМУ")*(Main!$B$6:$B$798='Стан БГ'!C37)*(Main!$C$6:$C$798='Стан БГ'!H39),Main!$A$6:$A$798,0),R40,T40),"")</f>
        <v/>
      </c>
      <c r="Q40" s="241">
        <f>Q37</f>
        <v>77</v>
      </c>
      <c r="R40" s="162" t="str">
        <f t="array" ref="R40">IF(MAX(IF((Main!$D$6:$D$798="НСМУ")*(Main!$B$6:$B$798='Стан БГ'!C37)*(Main!$C$6:$C$798='Стан БГ'!H39),Main!$A$6:$A$798,0),T40)&gt;0,MAX(IF((Main!$D$6:$D$798="НСМУ")*(Main!$B$6:$B$798='Стан БГ'!C37)*(Main!$C$6:$C$798='Стан БГ'!H39),Main!$A$6:$A$798,0),T40),"")</f>
        <v/>
      </c>
      <c r="S40" s="239">
        <f>S37</f>
        <v>61</v>
      </c>
      <c r="T40" s="242" t="str">
        <f t="array" ref="T40">IF(MAX(IF((Main!$D$6:$D$798="НВМП")*(Main!$B$6:$B$798='Стан БГ'!C37)*(Main!$C$6:$C$798='Стан БГ'!H39),Main!$A$6:$A$798,0))&gt;0,MAX(IF((Main!$D$6:$D$798="НВМП")*(Main!$B$6:$B$798='Стан БГ'!C37)*(Main!$C$6:$C$798='Стан БГ'!H39),Main!$A$6:$A$798,0)),"")</f>
        <v/>
      </c>
      <c r="U40" s="243">
        <f>U37</f>
        <v>365</v>
      </c>
      <c r="V40" s="26"/>
      <c r="W40" s="133">
        <f>IF($D36=1,W$8,IF($D36=2,W$9,IF($D36=3,W$10)))</f>
        <v>365</v>
      </c>
      <c r="X40" s="26"/>
      <c r="Y40" s="135">
        <f>IF($D36=1,Y$8,IF($D36=2,Y$9,IF($D36=3,Y$10)))</f>
        <v>365</v>
      </c>
      <c r="Z40" s="26"/>
      <c r="AA40" s="135">
        <f>IF($D36=1,AA$8,IF($D36=2,AA$9,IF($D36=3,AA$10)))</f>
        <v>365</v>
      </c>
      <c r="AB40" s="26"/>
      <c r="AC40" s="135">
        <f>IF($D36=1,AC$8,IF($D36=2,AC$9,IF($D36=3,AC$10)))</f>
        <v>365</v>
      </c>
      <c r="AD40" s="26"/>
      <c r="AE40" s="135">
        <f>AE37</f>
        <v>365</v>
      </c>
      <c r="AF40" s="26"/>
      <c r="AG40" s="135">
        <f>AG37</f>
        <v>365</v>
      </c>
      <c r="AH40" s="26"/>
      <c r="AI40" s="135">
        <f>AI37</f>
        <v>365</v>
      </c>
      <c r="AJ40" s="26"/>
      <c r="AK40" s="135">
        <f>AK37</f>
        <v>365</v>
      </c>
      <c r="AL40" s="33"/>
      <c r="AM40" s="141">
        <f>AM37</f>
        <v>365</v>
      </c>
      <c r="AN40" s="26"/>
      <c r="AO40" s="131" t="b">
        <f>IF($D39=1,AO$8,IF($D39=2,AO$9,IF($D39=3,AO$10)))</f>
        <v>0</v>
      </c>
      <c r="AP40" s="128"/>
      <c r="AQ40" s="135" t="b">
        <f>IF($D39=1,AQ$8,IF($D39=2,AQ$9,IF($D39=3,AQ$10)))</f>
        <v>0</v>
      </c>
      <c r="AR40" s="128">
        <v>45733.0</v>
      </c>
      <c r="AS40" s="131" t="b">
        <f>IF($D39=1,AS$8,IF($D39=2,AS$9,IF($D39=3,AS$10)))</f>
        <v>0</v>
      </c>
      <c r="AT40" s="26"/>
      <c r="AU40" s="135" t="b">
        <f>IF($D39=1,AU$8,IF($D39=2,AU$9,IF($D39=3,AU$10)))</f>
        <v>0</v>
      </c>
      <c r="AV40" s="33"/>
      <c r="AW40" s="179">
        <f>IF($D36=1,AW$8,IF($D36=2,AW$9,IF($D36=3,AW$10)))</f>
        <v>365</v>
      </c>
      <c r="AX40" s="26"/>
      <c r="AY40" s="135">
        <f>IF($D36=1,AY$8,IF($D36=2,AY$9,IF($D36=3,AY$10)))</f>
        <v>365</v>
      </c>
      <c r="AZ40" s="26"/>
      <c r="BA40" s="135">
        <f>IF($D36=1,BA$8,IF($D36=2,BA$9,IF($D36=3,BA$10)))</f>
        <v>122</v>
      </c>
      <c r="BB40" s="26"/>
      <c r="BC40" s="135">
        <f>IF($D36=1,BC$8,IF($D36=2,BC$9,IF($D36=3,BC$10)))</f>
        <v>184</v>
      </c>
      <c r="BD40" s="26"/>
      <c r="BE40" s="135">
        <f>BE37</f>
        <v>184</v>
      </c>
      <c r="BF40" s="26"/>
      <c r="BG40" s="135">
        <f>BG37</f>
        <v>365</v>
      </c>
      <c r="BI40" s="143">
        <f>BI37</f>
        <v>184</v>
      </c>
      <c r="BK40" s="22"/>
    </row>
    <row r="41" ht="5.25" customHeight="1">
      <c r="A41" s="59"/>
      <c r="B41" s="60"/>
      <c r="C41" s="167"/>
      <c r="D41" s="60"/>
      <c r="E41" s="168"/>
      <c r="F41" s="65"/>
      <c r="G41" s="60"/>
      <c r="H41" s="144"/>
      <c r="I41" s="145">
        <f>IF(AND(J36=1,OR($G36="вп",$G36="вд",$G36="шп",$G36="оа")),1,0)</f>
        <v>0</v>
      </c>
      <c r="J41" s="146">
        <f>IF(J40="",0,IF($C$2&lt;(I40+J40)-15,2,IF($C$2&lt;(I40+J40),1,"0")))</f>
        <v>0</v>
      </c>
      <c r="K41" s="147"/>
      <c r="L41" s="148">
        <f>IF(L40="",0,IF($C$2&lt;(K40+L40)-15,2,IF($C$2&lt;(K40+L40),1,"0")))</f>
        <v>0</v>
      </c>
      <c r="M41" s="147"/>
      <c r="N41" s="244">
        <f>IF(N40="",0,IF($C$2&lt;(M40+N40)-15,2,IF($C$2&lt;(M40+N40),1,"0")))</f>
        <v>0</v>
      </c>
      <c r="O41" s="149"/>
      <c r="P41" s="146">
        <f>IF(P40="",0,IF($C$2&lt;(O40+P40)-15,2,IF($C$2&lt;(O40+P40),1,"0")))</f>
        <v>0</v>
      </c>
      <c r="Q41" s="149"/>
      <c r="R41" s="146">
        <f>IF(R40="",0,IF($C$2&lt;(Q40+R40)-15,2,IF($C$2&lt;(Q40+R40),1,"0")))</f>
        <v>0</v>
      </c>
      <c r="S41" s="149"/>
      <c r="T41" s="171">
        <f>IF(T40="",0,IF($C$2&lt;(S40+T40)-15,2,IF($C$2&lt;(S40+T40),1,"0")))</f>
        <v>0</v>
      </c>
      <c r="U41" s="147"/>
      <c r="V41" s="146">
        <f>IF(V37 = "",0,IF($C$2&lt;(U37+V37)-15,2,IF($C$2&lt;(U37+V37),1,"0")))</f>
        <v>0</v>
      </c>
      <c r="W41" s="152"/>
      <c r="X41" s="146">
        <f>IF(X37 = "",0,IF($C$2&lt;(W37+X37)-15,2,IF($C$2&lt;(W37+X37),1,"0")))</f>
        <v>2</v>
      </c>
      <c r="Y41" s="147"/>
      <c r="Z41" s="146">
        <f>IF(Z37 = "",0,IF($C$2&lt;(Y37+Z37)-15,2,IF($C$2&lt;(Y37+Z37),1,"0")))</f>
        <v>2</v>
      </c>
      <c r="AA41" s="147"/>
      <c r="AB41" s="146">
        <f>IF(AB37 = "",0,IF($C$2&lt;(AA37+AB37)-15,2,IF($C$2&lt;(AA37+AB37),1,"0")))</f>
        <v>0</v>
      </c>
      <c r="AC41" s="147"/>
      <c r="AD41" s="146">
        <f>IF(AD37 = "",0,IF($C$2&lt;(AC37+AD37)-15,2,IF($C$2&lt;(AC37+AD37),1,"0")))</f>
        <v>2</v>
      </c>
      <c r="AE41" s="147"/>
      <c r="AF41" s="146">
        <f>IF(AF37 = "",0,IF($C$2&lt;(AE37+AF37)-15,2,IF($C$2&lt;(AE37+AF37),1,"0")))</f>
        <v>2</v>
      </c>
      <c r="AG41" s="147"/>
      <c r="AH41" s="146">
        <f>IF(AH37 = "",0,IF($C$2&lt;(AG37+AH37)-15,2,IF($C$2&lt;(AG37+AH37),1,"0")))</f>
        <v>2</v>
      </c>
      <c r="AI41" s="147"/>
      <c r="AJ41" s="146">
        <f>IF(AJ37 = "",0,IF($C$2&lt;(AI37+AJ37)-15,2,IF($C$2&lt;(AI37+AJ37),1,"0")))</f>
        <v>2</v>
      </c>
      <c r="AK41" s="147"/>
      <c r="AL41" s="171">
        <f>IF(AL37 = "",0,IF($C$2&lt;(AK37+AL37)-15,2,IF($C$2&lt;(AK37+AL37),1,"0")))</f>
        <v>0</v>
      </c>
      <c r="AM41" s="147"/>
      <c r="AN41" s="146" t="str">
        <f>IF(AN37 = "",0,IF($C$2&lt;(AM37+AN37)-15,2,IF($C$2&lt;(AM37+AN37),1,"0")))</f>
        <v>0</v>
      </c>
      <c r="AO41" s="150"/>
      <c r="AP41" s="146">
        <f>IF(AP40 = "",0,IF($C$2&lt;(AO37+AP40)-15,2,IF($C$2&lt;(AO37+AP40),1,"0")))</f>
        <v>0</v>
      </c>
      <c r="AQ41" s="150"/>
      <c r="AR41" s="146">
        <f>IF(AR40 = "",0,IF($C$2&lt;(AQ37+AR40)-15,2,IF($C$2&lt;(AQ37+AR40),1,"0")))</f>
        <v>2</v>
      </c>
      <c r="AS41" s="150"/>
      <c r="AT41" s="146" t="str">
        <f>IF(AT37 = "",0,IF($C$2&lt;(AS37+AT37)-15,2,IF($C$2&lt;(AS37+AT37),1,"0")))</f>
        <v>0</v>
      </c>
      <c r="AU41" s="150"/>
      <c r="AV41" s="171" t="str">
        <f>IF(AV37 = "",0,IF($C$2&lt;(AU37+AV37)-15,2,IF($C$2&lt;(AU37+AV37),1,"0")))</f>
        <v>#VALUE!</v>
      </c>
      <c r="AW41" s="154"/>
      <c r="AX41" s="146">
        <f>IF(AX37 = "",0,IF($C$2&lt;(AW37+AX37)-15,2,IF($C$2&lt;(AW37+AX37),1,"0")))</f>
        <v>0</v>
      </c>
      <c r="AY41" s="147"/>
      <c r="AZ41" s="146">
        <f>IF(AZ37 = "",0,IF($C$2&lt;(AY37+AZ37)-15,2,IF($C$2&lt;(AY37+AZ37),1,"0")))</f>
        <v>0</v>
      </c>
      <c r="BA41" s="147"/>
      <c r="BB41" s="146">
        <f>IF(BB37 = "",0,IF($C$2&lt;(BA37+BB37)-15,2,IF($C$2&lt;(BA37+BB37),1,"0")))</f>
        <v>0</v>
      </c>
      <c r="BC41" s="147"/>
      <c r="BD41" s="146">
        <f>IF(BD37 = "",0,IF($C$2&lt;(BC37+BD37)-15,2,IF($C$2&lt;(BC37+BD37),1,"0")))</f>
        <v>0</v>
      </c>
      <c r="BE41" s="147"/>
      <c r="BF41" s="146">
        <f>IF(BF37 = "",0,IF($C$2&lt;(BE37+BF37)-15,2,IF($C$2&lt;(BE37+BF37),1,"0")))</f>
        <v>0</v>
      </c>
      <c r="BG41" s="147"/>
      <c r="BH41" s="172">
        <f>IF(BH37 = "",0,IF($C$2&lt;(BG37+BH37)-15,2,IF($C$2&lt;(BG37+BH37),1,"0")))</f>
        <v>0</v>
      </c>
      <c r="BI41" s="173"/>
      <c r="BJ41" s="172">
        <f>IF(BJ37 = "",0,IF($C$2&lt;(BI37+BJ37)-15,2,IF($C$2&lt;(BI37+BJ37),1,"0")))</f>
        <v>0</v>
      </c>
      <c r="BK41" s="22"/>
    </row>
    <row r="42" ht="1.5" customHeight="1">
      <c r="A42" s="103">
        <v>2.0</v>
      </c>
      <c r="B42" s="104" t="s">
        <v>66</v>
      </c>
      <c r="C42" s="174"/>
      <c r="D42" s="106">
        <v>2.0</v>
      </c>
      <c r="E42" s="107">
        <v>1.0</v>
      </c>
      <c r="F42" s="184">
        <f>IF(E42=1,1.5,1)</f>
        <v>1.5</v>
      </c>
      <c r="G42" s="245"/>
      <c r="H42" s="109" t="s">
        <v>55</v>
      </c>
      <c r="I42" s="110">
        <v>1.0</v>
      </c>
      <c r="J42" s="111">
        <f>IF(OR(J44=1,J44=2),1,0)</f>
        <v>1</v>
      </c>
      <c r="K42" s="110">
        <v>1.0</v>
      </c>
      <c r="L42" s="175">
        <f>IF(OR(L44=1,L44=2),1,0)</f>
        <v>1</v>
      </c>
      <c r="M42" s="110">
        <v>1.0</v>
      </c>
      <c r="N42" s="225">
        <f>IF(OR(N44=1,N44=2),1,0)</f>
        <v>0</v>
      </c>
      <c r="O42" s="110">
        <v>1.0</v>
      </c>
      <c r="P42" s="111">
        <f>IF(OR(P44=1,P44=2),1,0)</f>
        <v>0</v>
      </c>
      <c r="Q42" s="110">
        <v>1.0</v>
      </c>
      <c r="R42" s="111">
        <f>IF(OR(R44=1,R44=2),1,0)</f>
        <v>0</v>
      </c>
      <c r="S42" s="110">
        <v>1.0</v>
      </c>
      <c r="T42" s="246">
        <f>IF(OR(T44=1,T44=2),1,0)</f>
        <v>0</v>
      </c>
      <c r="U42" s="120"/>
      <c r="V42" s="115"/>
      <c r="W42" s="116"/>
      <c r="X42" s="115"/>
      <c r="Y42" s="114"/>
      <c r="Z42" s="115"/>
      <c r="AA42" s="114"/>
      <c r="AB42" s="115"/>
      <c r="AC42" s="114"/>
      <c r="AD42" s="115"/>
      <c r="AE42" s="114"/>
      <c r="AF42" s="115"/>
      <c r="AG42" s="114"/>
      <c r="AH42" s="115"/>
      <c r="AI42" s="114"/>
      <c r="AJ42" s="115"/>
      <c r="AK42" s="114"/>
      <c r="AL42" s="119"/>
      <c r="AM42" s="120"/>
      <c r="AN42" s="115"/>
      <c r="AO42" s="114"/>
      <c r="AP42" s="115"/>
      <c r="AQ42" s="114"/>
      <c r="AR42" s="115"/>
      <c r="AS42" s="114"/>
      <c r="AT42" s="115"/>
      <c r="AU42" s="114"/>
      <c r="AV42" s="119"/>
      <c r="AW42" s="120"/>
      <c r="AX42" s="115"/>
      <c r="AY42" s="114"/>
      <c r="AZ42" s="115"/>
      <c r="BA42" s="114"/>
      <c r="BB42" s="115"/>
      <c r="BC42" s="114"/>
      <c r="BD42" s="115"/>
      <c r="BE42" s="114"/>
      <c r="BF42" s="115"/>
      <c r="BG42" s="114"/>
      <c r="BH42" s="117"/>
      <c r="BI42" s="121"/>
      <c r="BJ42" s="117"/>
      <c r="BK42" s="22"/>
    </row>
    <row r="43" ht="15.0" customHeight="1">
      <c r="A43" s="23"/>
      <c r="B43" s="24"/>
      <c r="C43" s="122" t="s">
        <v>67</v>
      </c>
      <c r="D43" s="24"/>
      <c r="E43" s="123"/>
      <c r="F43" s="26"/>
      <c r="G43" s="24"/>
      <c r="H43" s="124"/>
      <c r="I43" s="125">
        <f>IF($D42=1,I$8,IF($D42=2,I$9,I$10))</f>
        <v>92</v>
      </c>
      <c r="J43" s="128">
        <f t="array" ref="J43">IF(MAX(IF((Main!$D$6:$D$798="ДПМУ")*(Main!$B$6:$B$798='Стан БГ'!C43)*(Main!$C$6:$C$798='Стан БГ'!H42),Main!$A$6:$A$798,0),L43,N43,P43,R43,T43)&gt;0,MAX(IF((Main!$D$6:$D$798="ДПМУ")*(Main!$B$6:$B$798='Стан БГ'!C43)*(Main!$C$6:$C$798='Стан БГ'!H42),Main!$A$6:$A$798,0),L43,N43,P43,R43,T43),"21.12.2024")</f>
        <v>46036</v>
      </c>
      <c r="K43" s="127">
        <f>IF($D42=1,K$8,IF($D42=2,K$9,K$10))</f>
        <v>77</v>
      </c>
      <c r="L43" s="128">
        <f t="array" ref="L43">IF(MAX(IF((Main!$D$6:$D$798="ДСМУ")*(Main!$B$6:$B$798='Стан БГ'!C43)*(Main!$C$6:$C$798='Стан БГ'!H42),Main!$A$6:$A$798,0),N43,R43,T43)&gt;0,MAX(IF((Main!$D$6:$D$798="ДСМУ")*(Main!$B$6:$B$798='Стан БГ'!C43)*(Main!$C$6:$C$798='Стан БГ'!H42),Main!$A$6:$A$798,0),N43,R43,T43),"21.12.2024")</f>
        <v>46036</v>
      </c>
      <c r="M43" s="127">
        <f>IF($D42=1,M$8,IF($D42=2,M$9,M$10))</f>
        <v>61</v>
      </c>
      <c r="N43" s="129" t="str">
        <f t="array" ref="N43">IF(MAX(IF((Main!$D$6:$D$798="ДВМП")*(Main!$B$6:$B$798='Стан БГ'!C43)*(Main!$C$6:$C$798='Стан БГ'!H42),Main!$A$6:$A$798,0),T43)&gt;0,MAX(IF((Main!$D$6:$D$798="ДВМП")*(Main!$B$6:$B$798='Стан БГ'!C43)*(Main!$C$6:$C$798='Стан БГ'!H42),Main!$A$6:$A$798,0),T43),"")</f>
        <v/>
      </c>
      <c r="O43" s="127">
        <f>IF($D42=1,O$8,IF($D42=2,O$9,O$10))</f>
        <v>77</v>
      </c>
      <c r="P43" s="129" t="str">
        <f t="array" ref="P43">IF(MAX(IF((Main!$D$6:$D$798="НПМУ")*(Main!$B$6:$B$798='Стан БГ'!C43)*(Main!$C$6:$C$798='Стан БГ'!H42),Main!$A$6:$A$798,0),R43,T43)&gt;0,MAX(IF((Main!$D$6:$D$798="НПМУ")*(Main!$B$6:$B$798='Стан БГ'!C43)*(Main!$C$6:$C$798='Стан БГ'!H42),Main!$A$6:$A$798,0),R43,T43),"")</f>
        <v/>
      </c>
      <c r="Q43" s="127">
        <f>IF($D42=1,Q$8,IF($D42=2,Q$9,Q$10))</f>
        <v>61</v>
      </c>
      <c r="R43" s="129" t="str">
        <f t="array" ref="R43">IF(MAX(IF((Main!$D$6:$D$798="НСМУ")*(Main!$B$6:$B$798='Стан БГ'!C43)*(Main!$C$6:$C$798='Стан БГ'!H42),Main!$A$6:$A$798,0),T43)&gt;0,MAX(IF((Main!$D$6:$D$798="НСМУ")*(Main!$B$6:$B$798='Стан БГ'!C43)*(Main!$C$6:$C$798='Стан БГ'!H42),Main!$A$6:$A$798,0),T43),"")</f>
        <v/>
      </c>
      <c r="S43" s="127">
        <f>IF($D42=1,S$8,IF($D42=2,S$9,S$10))</f>
        <v>46</v>
      </c>
      <c r="T43" s="129" t="str">
        <f t="array" ref="T43">IF(MAX(IF((Main!$D$6:$D$798="НВМП")*(Main!$B$6:$B$798='Стан БГ'!C43)*(Main!$C$6:$C$798='Стан БГ'!H42),Main!$A$6:$A$798,0))&gt;0,MAX(IF((Main!$D$6:$D$798="НВМП")*(Main!$B$6:$B$798='Стан БГ'!C43)*(Main!$C$6:$C$798='Стан БГ'!H42),Main!$A$6:$A$798,0)),"")</f>
        <v/>
      </c>
      <c r="U43" s="141">
        <f>IF($D42=1,U$8,IF($D42=2,U$9,IF($D42=3,U$10)))</f>
        <v>365</v>
      </c>
      <c r="V43" s="247"/>
      <c r="W43" s="133">
        <f>IF($D42=1,W$8,IF($D42=2,W$9,IF($D42=3,W$10)))</f>
        <v>365</v>
      </c>
      <c r="X43" s="248">
        <v>46035.0</v>
      </c>
      <c r="Y43" s="135">
        <f>IF($D42=1,Y$8,IF($D42=2,Y$9,IF($D42=3,Y$10)))</f>
        <v>365</v>
      </c>
      <c r="Z43" s="248">
        <v>46035.0</v>
      </c>
      <c r="AA43" s="135">
        <f>IF($D42=1,AA$8,IF($D42=2,AA$9,IF($D42=3,AA$10)))</f>
        <v>365</v>
      </c>
      <c r="AB43" s="248">
        <v>46035.0</v>
      </c>
      <c r="AC43" s="135">
        <f>IF($D42=1,AC$8,IF($D42=2,AC$9,IF($D42=3,AC$10)))</f>
        <v>365</v>
      </c>
      <c r="AD43" s="248">
        <v>46035.0</v>
      </c>
      <c r="AE43" s="135">
        <f>IF($D42=1,AE$8,IF($D42=2,AE$9,IF($D42=3,AE$10)))</f>
        <v>365</v>
      </c>
      <c r="AF43" s="248">
        <v>46035.0</v>
      </c>
      <c r="AG43" s="135">
        <f>IF($D42=1,AG$8,IF($D42=2,AG$9,IF($D42=3,AG$10)))</f>
        <v>365</v>
      </c>
      <c r="AH43" s="248">
        <v>46035.0</v>
      </c>
      <c r="AI43" s="135">
        <f>IF($D42=1,AI$8,IF($D42=2,AI$9,IF($D42=3,AI$10)))</f>
        <v>365</v>
      </c>
      <c r="AJ43" s="248">
        <v>46035.0</v>
      </c>
      <c r="AK43" s="135">
        <f>IF($D42=1,AK$8,IF($D42=2,AK$9,IF($D42=3,AK$10)))</f>
        <v>365</v>
      </c>
      <c r="AL43" s="178"/>
      <c r="AM43" s="141">
        <f>IF($D42=1,AM$8,IF($D42=2,AM$9,IF($D42=3,AM$10)))</f>
        <v>365</v>
      </c>
      <c r="AN43" s="134">
        <v>45650.0</v>
      </c>
      <c r="AO43" s="131">
        <f>IF($D42=1,AO$8,IF($D42=2,AO$9,IF($D42=3,AO$10)))</f>
        <v>184</v>
      </c>
      <c r="AP43" s="128">
        <v>45747.0</v>
      </c>
      <c r="AQ43" s="135">
        <f>IF($D42=1,AQ$8,IF($D42=2,AQ$9,IF($D42=3,AQ$10)))</f>
        <v>365</v>
      </c>
      <c r="AR43" s="128">
        <v>45708.0</v>
      </c>
      <c r="AS43" s="131">
        <f>IF($D42=1,AS$8,IF($D42=2,AS$9,IF($D42=3,AS$10)))</f>
        <v>365</v>
      </c>
      <c r="AT43" s="134">
        <v>45567.0</v>
      </c>
      <c r="AU43" s="135">
        <f>IF($D42=1,AU$8,IF($D42=2,AU$9,IF($D42=3,AU$10)))</f>
        <v>1095</v>
      </c>
      <c r="AV43" s="178">
        <v>45752.0</v>
      </c>
      <c r="AW43" s="179">
        <f>IF($D42=1,AW$8,IF($D42=2,AW$9,IF($D42=3,AW$10)))</f>
        <v>365</v>
      </c>
      <c r="AX43" s="134">
        <f t="array" ref="AX43">IF(MAX(IF((ISNUMBER(SEARCH("Складний пілотаж",Main!$M$6:$M$798)))*(Main!$B$6:$B$798='Стан БГ'!C43),Main!$A$6:$A$798,0))&gt;0,MAX(IF((ISNUMBER(SEARCH("Складний пілотаж",Main!$M$6:$M$798)))*(Main!$B$6:$B$798='Стан БГ'!C43),Main!$A$6:$A$798,0)),"07.02.2024")</f>
        <v>46035</v>
      </c>
      <c r="AY43" s="135">
        <f>IF($D42=1,AY$8,IF($D42=2,AY$9,IF($D42=3,AY$10)))</f>
        <v>365</v>
      </c>
      <c r="AZ43" s="134" t="str">
        <f t="array" ref="AZ43">IF(MAX(IF((ISNUMBER(SEARCH("Мала висота",Main!$M$6:$M$798)))*(Main!$B$6:$B$798='Стан БГ'!C43),Main!$A$6:$A$798,0))&gt;0,MAX(IF((ISNUMBER(SEARCH("Мала висота",Main!$M$6:$M$798)))*(Main!$B$6:$B$798='Стан БГ'!C43),Main!$A$6:$A$798,0)),"28.04.2025")</f>
        <v>28.04.2025</v>
      </c>
      <c r="BA43" s="135">
        <f>IF($D42=1,BA$8,IF($D42=2,BA$9,IF($D42=3,BA$10)))</f>
        <v>122</v>
      </c>
      <c r="BB43" s="134" t="str">
        <f t="array" ref="BB43">IF(MAX(IF((ISNUMBER(SEARCH("Гр. мала висота (ОНБ)",Main!$M$6:$M$798)))*(Main!$B$6:$B$798='Стан БГ'!C43),Main!$A$6:$A$798,0))&gt;0,MAX(IF((ISNUMBER(SEARCH("Гр. мала висота (ОНБ)",Main!$M$6:$M$798)))*(Main!$B$6:$B$798='Стан БГ'!C43),Main!$A$6:$A$798,0)),"07.02.2024")</f>
        <v>07.02.2024</v>
      </c>
      <c r="BC43" s="135">
        <f>IF($D42=1,BC$8,IF($D42=2,BC$9,IF($D42=3,BC$10)))</f>
        <v>184</v>
      </c>
      <c r="BD43" s="134">
        <f t="array" ref="BD43">IF(MAX(IF((ISNUMBER(SEARCH("Бойове застосування",Main!$M$6:$M$798)))*(Main!$B$6:$B$798='Стан БГ'!C43),Main!$A$6:$A$798,0))&gt;0,MAX(IF((ISNUMBER(SEARCH("Бойове застосування",Main!$M$6:$M$798)))*(Main!$B$6:$B$798='Стан БГ'!C43),Main!$A$6:$A$798,0)),"28.04.2025")</f>
        <v>46036</v>
      </c>
      <c r="BE43" s="135">
        <f>IF($D42=1,BE$8,IF($D42=2,BE$9,IF($D42=3,BE$10)))</f>
        <v>184</v>
      </c>
      <c r="BF43" s="134" t="str">
        <f t="array" ref="BF43">IF(MAX(IF((ISNUMBER(SEARCH("Групова злітаність",Main!$M$6:$M$798)))*(Main!$B$6:$B$798='Стан БГ'!C43),Main!$A$6:$A$798,0))&gt;0,MAX(IF((ISNUMBER(SEARCH("Групова злітаність",Main!$M$6:$M$798)))*(Main!$B$6:$B$798='Стан БГ'!C43),Main!$A$6:$A$798,0)),"07.02.2024")</f>
        <v>07.02.2024</v>
      </c>
      <c r="BG43" s="135">
        <f>IF($D42=1,BG$8,IF($D42=2,BG$9,IF($D42=3,BG$10)))</f>
        <v>365</v>
      </c>
      <c r="BH43" s="176" t="str">
        <f t="array" ref="BH43">IF(MAX(IF((ISNUMBER(SEARCH("На десантування",Main!$M$6:$M$798)))*(Main!$B$6:$B$798='Стан БГ'!C43),Main!$A$6:$A$798,0))&gt;0,MAX(IF((ISNUMBER(SEARCH("На десантування",Main!$M$6:$M$798)))*(Main!$B$6:$B$798='Стан БГ'!C43),Main!$A$6:$A$798,0)),"")</f>
        <v/>
      </c>
      <c r="BI43" s="143">
        <f>IF($D42=1,BI$8,IF($D42=2,BI$9,IF($D42=3,BI$10)))</f>
        <v>184</v>
      </c>
      <c r="BJ43" s="142"/>
      <c r="BK43" s="22"/>
    </row>
    <row r="44" ht="3.75" customHeight="1">
      <c r="A44" s="23"/>
      <c r="B44" s="24"/>
      <c r="C44" s="24"/>
      <c r="D44" s="24"/>
      <c r="E44" s="123"/>
      <c r="F44" s="26"/>
      <c r="G44" s="24"/>
      <c r="H44" s="144"/>
      <c r="I44" s="145">
        <f>IF(AND(J42=1,OR($G42="вп",$G42="вд",$G42="шп",$G42="оа")),1,0)</f>
        <v>0</v>
      </c>
      <c r="J44" s="146">
        <f>IF(J43="",0,IF($C$2&lt;(I43+J43)-15,2,IF($C$2&lt;(I43+J43),1,"0")))</f>
        <v>2</v>
      </c>
      <c r="K44" s="147"/>
      <c r="L44" s="148">
        <f>IF(L43="",0,IF($C$2&lt;(K43+L43)-15,2,IF($C$2&lt;(K43+L43),1,"0")))</f>
        <v>2</v>
      </c>
      <c r="M44" s="147"/>
      <c r="N44" s="146">
        <f>IF(N43="",0,IF($C$2&lt;(M43+N43)-15,2,IF($C$2&lt;(M43+N43),1,"0")))</f>
        <v>0</v>
      </c>
      <c r="O44" s="149"/>
      <c r="P44" s="146">
        <f>IF(P43="",0,IF($C$2&lt;(O43+P43)-15,2,IF($C$2&lt;(O43+P43),1,"0")))</f>
        <v>0</v>
      </c>
      <c r="Q44" s="149"/>
      <c r="R44" s="146">
        <f>IF(R43="",0,IF($C$2&lt;(Q43+R43)-15,2,IF($C$2&lt;(Q43+R43),1,"0")))</f>
        <v>0</v>
      </c>
      <c r="S44" s="149"/>
      <c r="T44" s="171">
        <f>IF(T43="",0,IF($C$2&lt;(S43+T43)-15,2,IF($C$2&lt;(S43+T43),1,"0")))</f>
        <v>0</v>
      </c>
      <c r="U44" s="154"/>
      <c r="V44" s="249"/>
      <c r="W44" s="152"/>
      <c r="X44" s="26"/>
      <c r="Y44" s="153"/>
      <c r="Z44" s="26"/>
      <c r="AA44" s="153"/>
      <c r="AB44" s="26"/>
      <c r="AC44" s="153"/>
      <c r="AD44" s="26"/>
      <c r="AE44" s="153"/>
      <c r="AF44" s="26"/>
      <c r="AG44" s="153"/>
      <c r="AH44" s="26"/>
      <c r="AI44" s="153"/>
      <c r="AJ44" s="26"/>
      <c r="AK44" s="153"/>
      <c r="AL44" s="33"/>
      <c r="AM44" s="154"/>
      <c r="AN44" s="26"/>
      <c r="AO44" s="150"/>
      <c r="AP44" s="146" t="str">
        <f>IF(AP43 = "",0,IF($C$2&lt;(AO43+AP43)-15,2,IF($C$2&lt;(AO43+AP43),1,"0")))</f>
        <v>0</v>
      </c>
      <c r="AQ44" s="150"/>
      <c r="AR44" s="146">
        <f>IF(AR43 = "",0,IF($C$2&lt;(AQ43+AR43)-15,2,IF($C$2&lt;(AQ43+AR43),1,"0")))</f>
        <v>1</v>
      </c>
      <c r="AS44" s="150"/>
      <c r="AT44" s="26"/>
      <c r="AU44" s="153"/>
      <c r="AV44" s="33"/>
      <c r="AW44" s="181"/>
      <c r="AX44" s="26"/>
      <c r="AY44" s="153"/>
      <c r="AZ44" s="26"/>
      <c r="BA44" s="153"/>
      <c r="BB44" s="26"/>
      <c r="BC44" s="153"/>
      <c r="BD44" s="26"/>
      <c r="BE44" s="153"/>
      <c r="BF44" s="26"/>
      <c r="BG44" s="153"/>
      <c r="BI44" s="155"/>
      <c r="BK44" s="22"/>
    </row>
    <row r="45" ht="1.5" customHeight="1">
      <c r="A45" s="23"/>
      <c r="B45" s="24"/>
      <c r="C45" s="24"/>
      <c r="D45" s="24"/>
      <c r="E45" s="123"/>
      <c r="F45" s="26"/>
      <c r="G45" s="24"/>
      <c r="H45" s="156"/>
      <c r="I45" s="110">
        <v>1.0</v>
      </c>
      <c r="J45" s="115">
        <f>IF(OR(J47=1,J47=2),1,0)</f>
        <v>0</v>
      </c>
      <c r="K45" s="110">
        <v>1.0</v>
      </c>
      <c r="L45" s="157">
        <f>IF(OR(L47=1,L47=2),1,0)</f>
        <v>0</v>
      </c>
      <c r="M45" s="110">
        <v>1.0</v>
      </c>
      <c r="N45" s="117">
        <f>IF(OR(N47=1,N47=2),1,0)</f>
        <v>0</v>
      </c>
      <c r="O45" s="110">
        <v>1.0</v>
      </c>
      <c r="P45" s="115">
        <f>IF(OR(P47=1,P47=2),1,0)</f>
        <v>0</v>
      </c>
      <c r="Q45" s="110">
        <v>1.0</v>
      </c>
      <c r="R45" s="115">
        <f>IF(OR(R47=1,R47=2),1,0)</f>
        <v>0</v>
      </c>
      <c r="S45" s="110">
        <v>1.0</v>
      </c>
      <c r="T45" s="119">
        <f>IF(OR(T47=1,T47=2),1,0)</f>
        <v>0</v>
      </c>
      <c r="U45" s="120"/>
      <c r="V45" s="249"/>
      <c r="W45" s="116"/>
      <c r="X45" s="26"/>
      <c r="Y45" s="159"/>
      <c r="Z45" s="26"/>
      <c r="AA45" s="159"/>
      <c r="AB45" s="26"/>
      <c r="AC45" s="159"/>
      <c r="AD45" s="26"/>
      <c r="AE45" s="159"/>
      <c r="AF45" s="26"/>
      <c r="AG45" s="159"/>
      <c r="AH45" s="26"/>
      <c r="AI45" s="159"/>
      <c r="AJ45" s="26"/>
      <c r="AK45" s="159"/>
      <c r="AL45" s="33"/>
      <c r="AM45" s="120"/>
      <c r="AN45" s="26"/>
      <c r="AO45" s="114"/>
      <c r="AP45" s="115"/>
      <c r="AQ45" s="114"/>
      <c r="AR45" s="115"/>
      <c r="AS45" s="114"/>
      <c r="AT45" s="26"/>
      <c r="AU45" s="159"/>
      <c r="AV45" s="33"/>
      <c r="AW45" s="183"/>
      <c r="AX45" s="26"/>
      <c r="AY45" s="159"/>
      <c r="AZ45" s="26"/>
      <c r="BA45" s="159"/>
      <c r="BB45" s="26"/>
      <c r="BC45" s="159"/>
      <c r="BD45" s="26"/>
      <c r="BE45" s="159"/>
      <c r="BF45" s="26"/>
      <c r="BG45" s="159"/>
      <c r="BI45" s="121"/>
      <c r="BK45" s="22"/>
    </row>
    <row r="46" ht="15.0" customHeight="1">
      <c r="A46" s="23"/>
      <c r="B46" s="24"/>
      <c r="C46" s="24"/>
      <c r="D46" s="24"/>
      <c r="E46" s="123"/>
      <c r="F46" s="26"/>
      <c r="G46" s="24"/>
      <c r="H46" s="124"/>
      <c r="I46" s="125">
        <f>I43</f>
        <v>92</v>
      </c>
      <c r="J46" s="162" t="str">
        <f t="array" ref="J46">IF(MAX(IF((Main!$D$6:$D$798="ДПМУ")*(Main!$B$6:$B$798='Стан БГ'!C43)*(Main!$C$6:$C$798='Стан БГ'!H45),Main!$A$6:$A$798,0),L46,N46,P46,R46,T46)&gt;0,MAX(IF((Main!$D$6:$D$798="ДПМУ")*(Main!$B$6:$B$798='Стан БГ'!C43)*(Main!$C$6:$C$798='Стан БГ'!H45),Main!$A$6:$A$798,0),L46,N46,P46,R46,T46),"")</f>
        <v/>
      </c>
      <c r="K46" s="161">
        <f>K43</f>
        <v>77</v>
      </c>
      <c r="L46" s="162" t="str">
        <f t="array" ref="L46">IF(MAX(IF((Main!$D$6:$D$798="ДСМУ")*(Main!$B$6:$B$798='Стан БГ'!C43)*(Main!$C$6:$C$798='Стан БГ'!H45),Main!$A$6:$A$798,0),N46,R46,T46)&gt;0,MAX(IF((Main!$D$6:$D$798="ДСМУ")*(Main!$B$6:$B$798='Стан БГ'!C43)*(Main!$C$6:$C$798='Стан БГ'!H45),Main!$A$6:$A$798,0),N46,R46,T46),"")</f>
        <v/>
      </c>
      <c r="M46" s="161">
        <f>M43</f>
        <v>61</v>
      </c>
      <c r="N46" s="162" t="str">
        <f t="array" ref="N46">IF(MAX(IF((Main!$D$6:$D$798="ДВМП")*(Main!$B$6:$B$798='Стан БГ'!C43)*(Main!$C$6:$C$798='Стан БГ'!H45),Main!$A$6:$A$798,0),T46)&gt;0,MAX(IF((Main!$D$6:$D$798="ДВМП")*(Main!$B$6:$B$798='Стан БГ'!C43)*(Main!$C$6:$C$798='Стан БГ'!H45),Main!$A$6:$A$798,0),T46),"")</f>
        <v/>
      </c>
      <c r="O46" s="163">
        <f>O43</f>
        <v>77</v>
      </c>
      <c r="P46" s="128" t="str">
        <f t="array" ref="P46">IF(MAX(IF((Main!$D$6:$D$798="НПМУ")*(Main!$B$6:$B$798='Стан БГ'!C43)*(Main!$C$6:$C$798='Стан БГ'!H45),Main!$A$6:$A$798,0),R46,T46)&gt;0,MAX(IF((Main!$D$6:$D$798="НПМУ")*(Main!$B$6:$B$798='Стан БГ'!C43)*(Main!$C$6:$C$798='Стан БГ'!H45),Main!$A$6:$A$798,0),R46,T46),"")</f>
        <v/>
      </c>
      <c r="Q46" s="161">
        <f>Q43</f>
        <v>61</v>
      </c>
      <c r="R46" s="128" t="str">
        <f t="array" ref="R46">IF(MAX(IF((Main!$D$6:$D$798="НСМУ")*(Main!$B$6:$B$798='Стан БГ'!C43)*(Main!$C$6:$C$798='Стан БГ'!H45),Main!$A$6:$A$798,0),T46)&gt;0,MAX(IF((Main!$D$6:$D$798="НСМУ")*(Main!$B$6:$B$798='Стан БГ'!C43)*(Main!$C$6:$C$798='Стан БГ'!H45),Main!$A$6:$A$798,0),T46),"")</f>
        <v/>
      </c>
      <c r="S46" s="161">
        <f>S43</f>
        <v>46</v>
      </c>
      <c r="T46" s="129" t="str">
        <f t="array" ref="T46">IF(MAX(IF((Main!$D$6:$D$798="НВМП")*(Main!$B$6:$B$798='Стан БГ'!C43)*(Main!$C$6:$C$798='Стан БГ'!H45),Main!$A$6:$A$798,0))&gt;0,MAX(IF((Main!$D$6:$D$798="НВМП")*(Main!$B$6:$B$798='Стан БГ'!C43)*(Main!$C$6:$C$798='Стан БГ'!H45),Main!$A$6:$A$798,0)),"")</f>
        <v/>
      </c>
      <c r="U46" s="141">
        <f>U43</f>
        <v>365</v>
      </c>
      <c r="V46" s="250"/>
      <c r="W46" s="133">
        <f>IF($D42=1,W$8,IF($D42=2,W$9,IF($D42=3,W$10)))</f>
        <v>365</v>
      </c>
      <c r="X46" s="26"/>
      <c r="Y46" s="135">
        <f>IF($D42=1,Y$8,IF($D42=2,Y$9,IF($D42=3,Y$10)))</f>
        <v>365</v>
      </c>
      <c r="Z46" s="26"/>
      <c r="AA46" s="135">
        <f>IF($D42=1,AA$8,IF($D42=2,AA$9,IF($D42=3,AA$10)))</f>
        <v>365</v>
      </c>
      <c r="AB46" s="26"/>
      <c r="AC46" s="135">
        <f>IF($D42=1,AC$8,IF($D42=2,AC$9,IF($D42=3,AC$10)))</f>
        <v>365</v>
      </c>
      <c r="AD46" s="26"/>
      <c r="AE46" s="135">
        <f>AE43</f>
        <v>365</v>
      </c>
      <c r="AF46" s="26"/>
      <c r="AG46" s="135">
        <f>AG43</f>
        <v>365</v>
      </c>
      <c r="AH46" s="26"/>
      <c r="AI46" s="135">
        <f>AI43</f>
        <v>365</v>
      </c>
      <c r="AJ46" s="26"/>
      <c r="AK46" s="135">
        <f>AK43</f>
        <v>365</v>
      </c>
      <c r="AL46" s="33"/>
      <c r="AM46" s="141">
        <f>AM43</f>
        <v>365</v>
      </c>
      <c r="AN46" s="26"/>
      <c r="AO46" s="131" t="b">
        <f>IF($D45=1,AO$8,IF($D45=2,AO$9,IF($D45=3,AO$10)))</f>
        <v>0</v>
      </c>
      <c r="AP46" s="128"/>
      <c r="AQ46" s="135" t="b">
        <f>IF($D45=1,AQ$8,IF($D45=2,AQ$9,IF($D45=3,AQ$10)))</f>
        <v>0</v>
      </c>
      <c r="AR46" s="128">
        <v>45888.0</v>
      </c>
      <c r="AS46" s="131" t="b">
        <f>IF($D45=1,AS$8,IF($D45=2,AS$9,IF($D45=3,AS$10)))</f>
        <v>0</v>
      </c>
      <c r="AT46" s="26"/>
      <c r="AU46" s="135" t="b">
        <f>IF($D45=1,AU$8,IF($D45=2,AU$9,IF($D45=3,AU$10)))</f>
        <v>0</v>
      </c>
      <c r="AV46" s="33"/>
      <c r="AW46" s="179">
        <f>IF($D42=1,AW$8,IF($D42=2,AW$9,IF($D42=3,AW$10)))</f>
        <v>365</v>
      </c>
      <c r="AX46" s="26"/>
      <c r="AY46" s="135">
        <f>IF($D42=1,AY$8,IF($D42=2,AY$9,IF($D42=3,AY$10)))</f>
        <v>365</v>
      </c>
      <c r="AZ46" s="26"/>
      <c r="BA46" s="135">
        <f>IF($D42=1,BA$8,IF($D42=2,BA$9,IF($D42=3,BA$10)))</f>
        <v>122</v>
      </c>
      <c r="BB46" s="26"/>
      <c r="BC46" s="135">
        <f>IF($D42=1,BC$8,IF($D42=2,BC$9,IF($D42=3,BC$10)))</f>
        <v>184</v>
      </c>
      <c r="BD46" s="26"/>
      <c r="BE46" s="135">
        <f>BE43</f>
        <v>184</v>
      </c>
      <c r="BF46" s="26"/>
      <c r="BG46" s="135">
        <f>BG43</f>
        <v>365</v>
      </c>
      <c r="BI46" s="143">
        <f>BI43</f>
        <v>184</v>
      </c>
      <c r="BK46" s="22"/>
    </row>
    <row r="47" ht="4.5" customHeight="1">
      <c r="A47" s="59"/>
      <c r="B47" s="60"/>
      <c r="C47" s="167"/>
      <c r="D47" s="60"/>
      <c r="E47" s="168"/>
      <c r="F47" s="65"/>
      <c r="G47" s="60"/>
      <c r="H47" s="144"/>
      <c r="I47" s="145">
        <f>IF(AND(J42=1,OR($G42="вп",$G42="вд",$G42="шп",$G42="оа")),1,0)</f>
        <v>0</v>
      </c>
      <c r="J47" s="146">
        <f>IF(J46="",0,IF($C$2&lt;(I46+J46)-15,2,IF($C$2&lt;(I46+J46),1,"0")))</f>
        <v>0</v>
      </c>
      <c r="K47" s="147"/>
      <c r="L47" s="148">
        <f>IF(L46="",0,IF($C$2&lt;(K46+L46)-15,2,IF($C$2&lt;(K46+L46),1,"0")))</f>
        <v>0</v>
      </c>
      <c r="M47" s="147"/>
      <c r="N47" s="146">
        <f>IF(N46="",0,IF($C$2&lt;(M46+N46)-15,2,IF($C$2&lt;(M46+N46),1,"0")))</f>
        <v>0</v>
      </c>
      <c r="O47" s="149"/>
      <c r="P47" s="146">
        <f>IF(P46="",0,IF($C$2&lt;(O46+P46)-15,2,IF($C$2&lt;(O46+P46),1,"0")))</f>
        <v>0</v>
      </c>
      <c r="Q47" s="149"/>
      <c r="R47" s="146">
        <f>IF(R46="",0,IF($C$2&lt;(Q46+R46)-15,2,IF($C$2&lt;(Q46+R46),1,"0")))</f>
        <v>0</v>
      </c>
      <c r="S47" s="223"/>
      <c r="T47" s="251">
        <f>IF(T46="",0,IF($C$2&lt;(S46+T46)-15,2,IF($C$2&lt;(S46+T46),1,"0")))</f>
        <v>0</v>
      </c>
      <c r="U47" s="252"/>
      <c r="V47" s="233">
        <f>IF(V43 = "",0,IF($C$2&lt;(U43+V43)-15,2,IF($C$2&lt;(U43+V43),1,"0")))</f>
        <v>0</v>
      </c>
      <c r="W47" s="253"/>
      <c r="X47" s="233">
        <f>IF(X43 = "",0,IF($C$2&lt;(W43+X43)-15,2,IF($C$2&lt;(W43+X43),1,"0")))</f>
        <v>2</v>
      </c>
      <c r="Y47" s="252"/>
      <c r="Z47" s="233">
        <f>IF(Z43 = "",0,IF($C$2&lt;(Y43+Z43)-15,2,IF($C$2&lt;(Y43+Z43),1,"0")))</f>
        <v>2</v>
      </c>
      <c r="AA47" s="252"/>
      <c r="AB47" s="233">
        <f>IF(AB43 = "",0,IF($C$2&lt;(AA43+AB43)-15,2,IF($C$2&lt;(AA43+AB43),1,"0")))</f>
        <v>2</v>
      </c>
      <c r="AC47" s="252"/>
      <c r="AD47" s="233">
        <f>IF(AD43 = "",0,IF($C$2&lt;(AC43+AD43)-15,2,IF($C$2&lt;(AC43+AD43),1,"0")))</f>
        <v>2</v>
      </c>
      <c r="AE47" s="252"/>
      <c r="AF47" s="233">
        <f>IF(AF43 = "",0,IF($C$2&lt;(AE43+AF43)-15,2,IF($C$2&lt;(AE43+AF43),1,"0")))</f>
        <v>2</v>
      </c>
      <c r="AG47" s="252"/>
      <c r="AH47" s="233">
        <f>IF(AH43 = "",0,IF($C$2&lt;(AG43+AH43)-15,2,IF($C$2&lt;(AG43+AH43),1,"0")))</f>
        <v>2</v>
      </c>
      <c r="AI47" s="252"/>
      <c r="AJ47" s="233">
        <f>IF(AJ43 = "",0,IF($C$2&lt;(AI43+AJ43)-15,2,IF($C$2&lt;(AI43+AJ43),1,"0")))</f>
        <v>2</v>
      </c>
      <c r="AK47" s="252"/>
      <c r="AL47" s="251">
        <f>IF(AL43 = "",0,IF($C$2&lt;(AK43+AL43)-15,2,IF($C$2&lt;(AK43+AL43),1,"0")))</f>
        <v>0</v>
      </c>
      <c r="AM47" s="252"/>
      <c r="AN47" s="233" t="str">
        <f>IF(AN43 = "",0,IF($C$2&lt;(AM43+AN43)-15,2,IF($C$2&lt;(AM43+AN43),1,"0")))</f>
        <v>0</v>
      </c>
      <c r="AO47" s="254"/>
      <c r="AP47" s="233">
        <f>IF(AP46 = "",0,IF($C$2&lt;(AO43+AP46)-15,2,IF($C$2&lt;(AO43+AP46),1,"0")))</f>
        <v>0</v>
      </c>
      <c r="AQ47" s="254"/>
      <c r="AR47" s="233">
        <f>IF(AR46 = "",0,IF($C$2&lt;(AQ43+AR46)-15,2,IF($C$2&lt;(AQ43+AR46),1,"0")))</f>
        <v>2</v>
      </c>
      <c r="AS47" s="254"/>
      <c r="AT47" s="233" t="str">
        <f>IF(AT43 = "",0,IF($C$2&lt;(AS43+AT43)-15,2,IF($C$2&lt;(AS43+AT43),1,"0")))</f>
        <v>0</v>
      </c>
      <c r="AU47" s="254"/>
      <c r="AV47" s="251">
        <f>IF(AV43 = "",0,IF($C$2&lt;(AU43+AV43)-15,2,IF($C$2&lt;(AU43+AV43),1,"0")))</f>
        <v>2</v>
      </c>
      <c r="AW47" s="154"/>
      <c r="AX47" s="146">
        <f>IF(AX43 = "",0,IF($C$2&lt;(AW43+AX43)-15,2,IF($C$2&lt;(AW43+AX43),1,"0")))</f>
        <v>2</v>
      </c>
      <c r="AY47" s="147"/>
      <c r="AZ47" s="146">
        <f>IF(AZ43 = "",0,IF($C$2&lt;(AY43+AZ43)-15,2,IF($C$2&lt;(AY43+AZ43),1,"0")))</f>
        <v>2</v>
      </c>
      <c r="BA47" s="147"/>
      <c r="BB47" s="146" t="str">
        <f>IF(BB43 = "",0,IF($C$2&lt;(BA43+BB43)-15,2,IF($C$2&lt;(BA43+BB43),1,"0")))</f>
        <v>0</v>
      </c>
      <c r="BC47" s="147"/>
      <c r="BD47" s="146">
        <f>IF(BD43 = "",0,IF($C$2&lt;(BC43+BD43)-15,2,IF($C$2&lt;(BC43+BD43),1,"0")))</f>
        <v>2</v>
      </c>
      <c r="BE47" s="147"/>
      <c r="BF47" s="146" t="str">
        <f>IF(BF43 = "",0,IF($C$2&lt;(BE43+BF43)-15,2,IF($C$2&lt;(BE43+BF43),1,"0")))</f>
        <v>0</v>
      </c>
      <c r="BG47" s="147"/>
      <c r="BH47" s="172">
        <f>IF(BH43 = "",0,IF($C$2&lt;(BG43+BH43)-15,2,IF($C$2&lt;(BG43+BH43),1,"0")))</f>
        <v>0</v>
      </c>
      <c r="BI47" s="173"/>
      <c r="BJ47" s="172">
        <f>IF(BJ43 = "",0,IF($C$2&lt;(BI43+BJ43)-15,2,IF($C$2&lt;(BI43+BJ43),1,"0")))</f>
        <v>0</v>
      </c>
      <c r="BK47" s="22"/>
    </row>
    <row r="48" ht="1.5" customHeight="1">
      <c r="A48" s="103">
        <v>3.0</v>
      </c>
      <c r="B48" s="104" t="s">
        <v>68</v>
      </c>
      <c r="C48" s="174"/>
      <c r="D48" s="106">
        <v>1.0</v>
      </c>
      <c r="E48" s="107">
        <v>1.0</v>
      </c>
      <c r="F48" s="184">
        <f>IF(E48=1,1.5,1)</f>
        <v>1.5</v>
      </c>
      <c r="G48" s="245" t="s">
        <v>69</v>
      </c>
      <c r="H48" s="255" t="s">
        <v>70</v>
      </c>
      <c r="I48" s="110">
        <v>1.0</v>
      </c>
      <c r="J48" s="111">
        <f>IF(OR(J50=1,J50=2),1,0)</f>
        <v>1</v>
      </c>
      <c r="K48" s="110">
        <v>1.0</v>
      </c>
      <c r="L48" s="175">
        <f>IF(OR(L50=1,L50=2),1,0)</f>
        <v>1</v>
      </c>
      <c r="M48" s="110">
        <v>1.0</v>
      </c>
      <c r="N48" s="112">
        <f>IF(OR(N50=1,N50=2),1,0)</f>
        <v>0</v>
      </c>
      <c r="O48" s="110">
        <v>1.0</v>
      </c>
      <c r="P48" s="111">
        <f>IF(OR(P50=1,P50=2),1,0)</f>
        <v>1</v>
      </c>
      <c r="Q48" s="110">
        <v>1.0</v>
      </c>
      <c r="R48" s="112">
        <f>IF(OR(R50=1,R50=2),1,0)</f>
        <v>0</v>
      </c>
      <c r="S48" s="256">
        <v>1.0</v>
      </c>
      <c r="T48" s="257">
        <f>IF(OR(T50=1,T50=2),1,0)</f>
        <v>0</v>
      </c>
      <c r="U48" s="258"/>
      <c r="V48" s="259"/>
      <c r="W48" s="260"/>
      <c r="X48" s="259"/>
      <c r="Y48" s="261"/>
      <c r="Z48" s="259"/>
      <c r="AA48" s="261"/>
      <c r="AB48" s="259"/>
      <c r="AC48" s="261"/>
      <c r="AD48" s="259"/>
      <c r="AE48" s="261"/>
      <c r="AF48" s="259"/>
      <c r="AG48" s="261"/>
      <c r="AH48" s="259"/>
      <c r="AI48" s="261"/>
      <c r="AJ48" s="259"/>
      <c r="AK48" s="261"/>
      <c r="AL48" s="257"/>
      <c r="AM48" s="258"/>
      <c r="AN48" s="259"/>
      <c r="AO48" s="261"/>
      <c r="AP48" s="259"/>
      <c r="AQ48" s="261"/>
      <c r="AR48" s="259"/>
      <c r="AS48" s="261"/>
      <c r="AT48" s="259"/>
      <c r="AU48" s="261"/>
      <c r="AV48" s="257"/>
      <c r="AW48" s="120"/>
      <c r="AX48" s="115"/>
      <c r="AY48" s="114"/>
      <c r="AZ48" s="115"/>
      <c r="BA48" s="114"/>
      <c r="BB48" s="115"/>
      <c r="BC48" s="114"/>
      <c r="BD48" s="115"/>
      <c r="BE48" s="114"/>
      <c r="BF48" s="115"/>
      <c r="BG48" s="114"/>
      <c r="BH48" s="117"/>
      <c r="BI48" s="121"/>
      <c r="BJ48" s="117"/>
      <c r="BK48" s="22"/>
    </row>
    <row r="49" ht="16.5" customHeight="1">
      <c r="A49" s="23"/>
      <c r="B49" s="24"/>
      <c r="C49" s="122" t="s">
        <v>71</v>
      </c>
      <c r="D49" s="24"/>
      <c r="E49" s="123"/>
      <c r="F49" s="26"/>
      <c r="G49" s="24"/>
      <c r="H49" s="124"/>
      <c r="I49" s="125">
        <f>IF($D48=1,I$8,IF($D48=2,I$9,I$10))</f>
        <v>107</v>
      </c>
      <c r="J49" s="128">
        <f t="array" ref="J49">IF(MAX(IF((Main!$D$6:$D$798="ДПМУ")*(Main!$B$6:$B$798='Стан БГ'!C49)*(Main!$C$6:$C$798='Стан БГ'!H48),Main!$A$6:$A$798,0),L49,N49,P49,R49,T49)&gt;0,MAX(IF((Main!$D$6:$D$798="ДПМУ")*(Main!$B$6:$B$798='Стан БГ'!C49)*(Main!$C$6:$C$798='Стан БГ'!H48),Main!$A$6:$A$798,0),L49,N49,P49,R49,T49),"")</f>
        <v>46042</v>
      </c>
      <c r="K49" s="127">
        <f>IF($D48=1,K$8,IF($D48=2,K$9,K$10))</f>
        <v>92</v>
      </c>
      <c r="L49" s="128">
        <f t="array" ref="L49">IF(MAX(IF((Main!$D$6:$D$798="ДСМУ")*(Main!$B$6:$B$798='Стан БГ'!C49)*(Main!$C$6:$C$798='Стан БГ'!H48),Main!$A$6:$A$798,0),N49,R49,T49)&gt;0,MAX(IF((Main!$D$6:$D$798="ДСМУ")*(Main!$B$6:$B$798='Стан БГ'!C49)*(Main!$C$6:$C$798='Стан БГ'!H48),Main!$A$6:$A$798,0),N49,R49,T49),"")</f>
        <v>46002</v>
      </c>
      <c r="M49" s="127">
        <f>IF($D48=1,M$8,IF($D48=2,M$9,M$10))</f>
        <v>77</v>
      </c>
      <c r="N49" s="129" t="str">
        <f t="array" ref="N49">IF(MAX(IF((Main!$D$6:$D$798="ДВМП")*(Main!$B$6:$B$798='Стан БГ'!C49)*(Main!$C$6:$C$798='Стан БГ'!H48),Main!$A$6:$A$798,0),T49)&gt;0,MAX(IF((Main!$D$6:$D$798="ДВМП")*(Main!$B$6:$B$798='Стан БГ'!C49)*(Main!$C$6:$C$798='Стан БГ'!H48),Main!$A$6:$A$798,0),T49),"24.04.2024")</f>
        <v>24.04.2024</v>
      </c>
      <c r="O49" s="127">
        <f>IF($D48=1,O$8,IF($D48=2,O$9,O$10))</f>
        <v>92</v>
      </c>
      <c r="P49" s="129">
        <f t="array" ref="P49">IF(MAX(IF((Main!$D$6:$D$798="НПМУ")*(Main!$B$6:$B$798='Стан БГ'!C49)*(Main!$C$6:$C$798='Стан БГ'!H48),Main!$A$6:$A$798,0),R49,T49)&gt;0,MAX(IF((Main!$D$6:$D$798="НПМУ")*(Main!$B$6:$B$798='Стан БГ'!C49)*(Main!$C$6:$C$798='Стан БГ'!H48),Main!$A$6:$A$798,0),R49,T49),"")</f>
        <v>46042</v>
      </c>
      <c r="Q49" s="127">
        <f>IF($D48=1,Q$8,IF($D48=2,Q$9,Q$10))</f>
        <v>77</v>
      </c>
      <c r="R49" s="162" t="str">
        <f t="array" ref="R49">IF(MAX(IF((Main!$D$6:$D$798="НСМУ")*(Main!$B$6:$B$798='Стан БГ'!C49)*(Main!$C$6:$C$798='Стан БГ'!H48),Main!$A$6:$A$798,0),T49)&gt;0,MAX(IF((Main!$D$6:$D$798="ДНСМУ")*(Main!$B$6:$B$798='Стан БГ'!C49)*(Main!$C$6:$C$798='Стан БГ'!H48),Main!$A$6:$A$798,0),T49),"24.04.2024")</f>
        <v>24.04.2024</v>
      </c>
      <c r="S49" s="163">
        <f>IF($D48=1,S$8,IF($D48=2,S$9,S$10))</f>
        <v>61</v>
      </c>
      <c r="T49" s="129" t="str">
        <f t="array" ref="T49">IF(MAX(IF((Main!$D$6:$D$798="НВМП")*(Main!$B$6:$B$798='Стан БГ'!C49)*(Main!$C$6:$C$798='Стан БГ'!H48),Main!$A$6:$A$798,0))&gt;0,MAX(IF((Main!$D$6:$D$798="НВМП")*(Main!$B$6:$B$798='Стан БГ'!C49)*(Main!$C$6:$C$798='Стан БГ'!H48),Main!$A$6:$A$798,0)),"24.04.2024")</f>
        <v>24.04.2024</v>
      </c>
      <c r="U49" s="141">
        <f>IF($D48=1,U$8,IF($D48=2,U$9,IF($D48=3,U$10)))</f>
        <v>365</v>
      </c>
      <c r="V49" s="139">
        <v>45776.0</v>
      </c>
      <c r="W49" s="133">
        <f>IF($D48=1,W$8,IF($D48=2,W$9,IF($D48=3,W$10)))</f>
        <v>365</v>
      </c>
      <c r="X49" s="248">
        <v>45972.0</v>
      </c>
      <c r="Y49" s="135">
        <f>IF($D48=1,Y$8,IF($D48=2,Y$9,IF($D48=3,Y$10)))</f>
        <v>365</v>
      </c>
      <c r="Z49" s="134">
        <v>45895.0</v>
      </c>
      <c r="AA49" s="135">
        <f>IF($D48=1,AA$8,IF($D48=2,AA$9,IF($D48=3,AA$10)))</f>
        <v>365</v>
      </c>
      <c r="AB49" s="134">
        <v>45892.0</v>
      </c>
      <c r="AC49" s="135">
        <f>IF($D48=1,AC$8,IF($D48=2,AC$9,IF($D48=3,AC$10)))</f>
        <v>365</v>
      </c>
      <c r="AD49" s="248">
        <v>45896.0</v>
      </c>
      <c r="AE49" s="135">
        <f>IF($D48=1,AE$8,IF($D48=2,AE$9,IF($D48=3,AE$10)))</f>
        <v>365</v>
      </c>
      <c r="AF49" s="248">
        <v>45996.0</v>
      </c>
      <c r="AG49" s="135">
        <f>IF($D48=1,AG$8,IF($D48=2,AG$9,IF($D48=3,AG$10)))</f>
        <v>365</v>
      </c>
      <c r="AH49" s="248">
        <v>45972.0</v>
      </c>
      <c r="AI49" s="135">
        <f>IF($D48=1,AI$8,IF($D48=2,AI$9,IF($D48=3,AI$10)))</f>
        <v>365</v>
      </c>
      <c r="AJ49" s="248">
        <v>45996.0</v>
      </c>
      <c r="AK49" s="135">
        <f>IF($D48=1,AK$8,IF($D48=2,AK$9,IF($D48=3,AK$10)))</f>
        <v>365</v>
      </c>
      <c r="AL49" s="178"/>
      <c r="AM49" s="141">
        <f>IF($D48=1,AM$8,IF($D48=2,AM$9,IF($D48=3,AM$10)))</f>
        <v>365</v>
      </c>
      <c r="AN49" s="134">
        <v>45649.0</v>
      </c>
      <c r="AO49" s="131">
        <f>IF($D48=1,AO$8,IF($D48=2,AO$9,IF($D48=3,AO$10)))</f>
        <v>184</v>
      </c>
      <c r="AP49" s="128">
        <v>45831.0</v>
      </c>
      <c r="AQ49" s="135">
        <f>IF($D48=1,AQ$8,IF($D48=2,AQ$9,IF($D48=3,AQ$10)))</f>
        <v>365</v>
      </c>
      <c r="AR49" s="126">
        <v>45968.0</v>
      </c>
      <c r="AS49" s="131">
        <f>IF($D48=1,AS$8,IF($D48=2,AS$9,IF($D48=3,AS$10)))</f>
        <v>365</v>
      </c>
      <c r="AT49" s="248">
        <v>45962.0</v>
      </c>
      <c r="AU49" s="135">
        <f>IF($D48=1,AU$8,IF($D48=2,AU$9,IF($D48=3,AU$10)))</f>
        <v>1095</v>
      </c>
      <c r="AV49" s="178">
        <v>45391.0</v>
      </c>
      <c r="AW49" s="179">
        <f>IF($D48=1,AW$8,IF($D48=2,AW$9,IF($D48=3,AW$10)))</f>
        <v>365</v>
      </c>
      <c r="AX49" s="134">
        <f t="array" ref="AX49">IF(MAX(IF((ISNUMBER(SEARCH("Складний пілотаж",Main!$M$6:$M$798)))*(Main!$B$6:$B$798='Стан БГ'!C49),Main!$A$6:$A$798,0))&gt;0,MAX(IF((ISNUMBER(SEARCH("Складний пілотаж",Main!$M$6:$M$798)))*(Main!$B$6:$B$798='Стан БГ'!C49),Main!$A$6:$A$798,0)),"18.12.2024")</f>
        <v>45988</v>
      </c>
      <c r="AY49" s="135">
        <f>IF($D48=1,AY$8,IF($D48=2,AY$9,IF($D48=3,AY$10)))</f>
        <v>365</v>
      </c>
      <c r="AZ49" s="134">
        <f t="array" ref="AZ49">IF(MAX(IF((ISNUMBER(SEARCH("Мала висота",Main!$M$6:$M$798)))*(Main!$B$6:$B$798='Стан БГ'!C49),Main!$A$6:$A$798,0))&gt;0,MAX(IF((ISNUMBER(SEARCH("Мала висота",Main!$M$6:$M$798)))*(Main!$B$6:$B$798='Стан БГ'!C49),Main!$A$6:$A$798,0)),"")</f>
        <v>46042</v>
      </c>
      <c r="BA49" s="135">
        <f>IF($D48=1,BA$8,IF($D48=2,BA$9,IF($D48=3,BA$10)))</f>
        <v>122</v>
      </c>
      <c r="BB49" s="134">
        <f t="array" ref="BB49">IF(MAX(IF((ISNUMBER(SEARCH("Гр. мала висота (ОНБ)",Main!$M$6:$M$798)))*(Main!$B$6:$B$798='Стан БГ'!C49),Main!$A$6:$A$798,0))&gt;0,MAX(IF((ISNUMBER(SEARCH("Гр. мала висота (ОНБ)",Main!$M$6:$M$798)))*(Main!$B$6:$B$798='Стан БГ'!C49),Main!$A$6:$A$798,0)),"21.08.2025")</f>
        <v>46042</v>
      </c>
      <c r="BC49" s="135">
        <f>IF($D48=1,BC$8,IF($D48=2,BC$9,IF($D48=3,BC$10)))</f>
        <v>184</v>
      </c>
      <c r="BD49" s="134">
        <f t="array" ref="BD49">IF(MAX(IF((ISNUMBER(SEARCH("Бойове застосування",Main!$M$6:$M$798)))*(Main!$B$6:$B$798='Стан БГ'!C49),Main!$A$6:$A$798,0))&gt;0,MAX(IF((ISNUMBER(SEARCH("Бойове застосування",Main!$M$6:$M$798)))*(Main!$B$6:$B$798='Стан БГ'!C49),Main!$A$6:$A$798,0)),"13.08.2025")</f>
        <v>45989</v>
      </c>
      <c r="BE49" s="135">
        <f>IF($D48=1,BE$8,IF($D48=2,BE$9,IF($D48=3,BE$10)))</f>
        <v>184</v>
      </c>
      <c r="BF49" s="134" t="str">
        <f t="array" ref="BF49">IF(MAX(IF((ISNUMBER(SEARCH("Групова злітаність",Main!$M$6:$M$798)))*(Main!$B$6:$B$798='Стан БГ'!C49),Main!$A$6:$A$798,0))&gt;0,MAX(IF((ISNUMBER(SEARCH("Групова злітаність",Main!$M$6:$M$798)))*(Main!$B$6:$B$798='Стан БГ'!C49),Main!$A$6:$A$798,0)),"05.02.2025")</f>
        <v>05.02.2025</v>
      </c>
      <c r="BG49" s="135">
        <f>IF($D48=1,BG$8,IF($D48=2,BG$9,IF($D48=3,BG$10)))</f>
        <v>365</v>
      </c>
      <c r="BH49" s="176" t="str">
        <f t="array" ref="BH49">IF(MAX(IF((ISNUMBER(SEARCH("На десантування",Main!$M$6:$M$798)))*(Main!$B$6:$B$798='Стан БГ'!C49),Main!$A$6:$A$798,0))&gt;0,MAX(IF((ISNUMBER(SEARCH("На десантування",Main!$M$6:$M$798)))*(Main!$B$6:$B$798='Стан БГ'!C49),Main!$A$6:$A$798,0)),"05.02.2025")</f>
        <v>05.02.2025</v>
      </c>
      <c r="BI49" s="143">
        <f>IF($D48=1,BI$8,IF($D48=2,BI$9,IF($D48=3,BI$10)))</f>
        <v>184</v>
      </c>
      <c r="BJ49" s="142">
        <v>45693.0</v>
      </c>
      <c r="BK49" s="22"/>
    </row>
    <row r="50" ht="4.5" customHeight="1">
      <c r="A50" s="23"/>
      <c r="B50" s="24"/>
      <c r="C50" s="24"/>
      <c r="D50" s="24"/>
      <c r="E50" s="123"/>
      <c r="F50" s="26"/>
      <c r="G50" s="24"/>
      <c r="H50" s="144"/>
      <c r="I50" s="145">
        <f>IF(AND(J48=1,OR($G48="вп",$G48="вд",$G48="шп",$G48="оа")),1,0)</f>
        <v>1</v>
      </c>
      <c r="J50" s="146">
        <f>IF(J49="",0,IF($C$2&lt;(I49+J49)-15,2,IF($C$2&lt;(I49+J49),1,"0")))</f>
        <v>2</v>
      </c>
      <c r="K50" s="147"/>
      <c r="L50" s="148">
        <f>IF(L49="",0,IF($C$2&lt;(K49+L49)-15,2,IF($C$2&lt;(K49+L49),1,"0")))</f>
        <v>2</v>
      </c>
      <c r="M50" s="147"/>
      <c r="N50" s="146" t="str">
        <f>IF(N49="",0,IF($C$2&lt;(M49+N49)-15,2,IF($C$2&lt;(M49+N49),1,"0")))</f>
        <v>0</v>
      </c>
      <c r="O50" s="149"/>
      <c r="P50" s="146">
        <f>IF(P49="",0,IF($C$2&lt;(O49+P49)-15,2,IF($C$2&lt;(O49+P49),1,"0")))</f>
        <v>2</v>
      </c>
      <c r="Q50" s="149"/>
      <c r="R50" s="172" t="str">
        <f>IF(R49="",0,IF($C$2&lt;(Q49+R49)-15,2,IF($C$2&lt;(Q49+R49),1,"0")))</f>
        <v>0</v>
      </c>
      <c r="S50" s="262"/>
      <c r="T50" s="171" t="str">
        <f>IF(T49="",0,IF($C$2&lt;(S49+T49)-15,2,IF($C$2&lt;(S49+T49),1,"0")))</f>
        <v>0</v>
      </c>
      <c r="U50" s="154"/>
      <c r="V50" s="26"/>
      <c r="W50" s="152"/>
      <c r="X50" s="26"/>
      <c r="Y50" s="153"/>
      <c r="Z50" s="26"/>
      <c r="AA50" s="153"/>
      <c r="AB50" s="26"/>
      <c r="AC50" s="153"/>
      <c r="AD50" s="26"/>
      <c r="AE50" s="153"/>
      <c r="AF50" s="26"/>
      <c r="AG50" s="153"/>
      <c r="AH50" s="26"/>
      <c r="AI50" s="153"/>
      <c r="AJ50" s="26"/>
      <c r="AK50" s="153"/>
      <c r="AL50" s="33"/>
      <c r="AM50" s="154"/>
      <c r="AN50" s="26"/>
      <c r="AO50" s="150"/>
      <c r="AP50" s="146" t="str">
        <f>IF(AP49 = "",0,IF($C$2&lt;(AO49+AP49)-15,2,IF($C$2&lt;(AO49+AP49),1,"0")))</f>
        <v>0</v>
      </c>
      <c r="AQ50" s="150"/>
      <c r="AR50" s="146">
        <f>IF(AR49 = "",0,IF($C$2&lt;(AQ49+AR49)-15,2,IF($C$2&lt;(AQ49+AR49),1,"0")))</f>
        <v>2</v>
      </c>
      <c r="AS50" s="150"/>
      <c r="AT50" s="26"/>
      <c r="AU50" s="153"/>
      <c r="AV50" s="33"/>
      <c r="AW50" s="181"/>
      <c r="AX50" s="26"/>
      <c r="AY50" s="153"/>
      <c r="AZ50" s="26"/>
      <c r="BA50" s="153"/>
      <c r="BB50" s="26"/>
      <c r="BC50" s="153"/>
      <c r="BD50" s="26"/>
      <c r="BE50" s="153"/>
      <c r="BF50" s="26"/>
      <c r="BG50" s="153"/>
      <c r="BI50" s="155"/>
      <c r="BK50" s="22"/>
    </row>
    <row r="51" ht="1.5" customHeight="1">
      <c r="A51" s="23"/>
      <c r="B51" s="24"/>
      <c r="C51" s="24"/>
      <c r="D51" s="24"/>
      <c r="E51" s="123"/>
      <c r="F51" s="26"/>
      <c r="G51" s="24"/>
      <c r="H51" s="263" t="s">
        <v>72</v>
      </c>
      <c r="I51" s="110">
        <v>1.0</v>
      </c>
      <c r="J51" s="115">
        <f>IF(OR(J53=1,J53=2),1,0)</f>
        <v>0</v>
      </c>
      <c r="K51" s="110">
        <v>1.0</v>
      </c>
      <c r="L51" s="157">
        <f>IF(OR(L53=1,L53=2),1,0)</f>
        <v>0</v>
      </c>
      <c r="M51" s="110">
        <v>1.0</v>
      </c>
      <c r="N51" s="117">
        <f>IF(OR(N53=1,N53=2),1,0)</f>
        <v>0</v>
      </c>
      <c r="O51" s="110">
        <v>1.0</v>
      </c>
      <c r="P51" s="115">
        <f>IF(OR(P53=1,P53=2),1,0)</f>
        <v>0</v>
      </c>
      <c r="Q51" s="110">
        <v>1.0</v>
      </c>
      <c r="R51" s="117">
        <f>IF(OR(R53=1,R53=2),1,0)</f>
        <v>0</v>
      </c>
      <c r="S51" s="264">
        <v>1.0</v>
      </c>
      <c r="T51" s="119">
        <f>IF(OR(T53=1,T53=2),1,0)</f>
        <v>0</v>
      </c>
      <c r="U51" s="120"/>
      <c r="V51" s="26"/>
      <c r="W51" s="116"/>
      <c r="X51" s="26"/>
      <c r="Y51" s="159"/>
      <c r="Z51" s="26"/>
      <c r="AA51" s="159"/>
      <c r="AB51" s="26"/>
      <c r="AC51" s="159"/>
      <c r="AD51" s="26"/>
      <c r="AE51" s="159"/>
      <c r="AF51" s="26"/>
      <c r="AG51" s="159"/>
      <c r="AH51" s="26"/>
      <c r="AI51" s="159"/>
      <c r="AJ51" s="26"/>
      <c r="AK51" s="159"/>
      <c r="AL51" s="33"/>
      <c r="AM51" s="120"/>
      <c r="AN51" s="26"/>
      <c r="AO51" s="114"/>
      <c r="AP51" s="115"/>
      <c r="AQ51" s="114"/>
      <c r="AR51" s="115"/>
      <c r="AS51" s="114"/>
      <c r="AT51" s="26"/>
      <c r="AU51" s="159"/>
      <c r="AV51" s="33"/>
      <c r="AW51" s="183"/>
      <c r="AX51" s="26"/>
      <c r="AY51" s="159"/>
      <c r="AZ51" s="26"/>
      <c r="BA51" s="159"/>
      <c r="BB51" s="26"/>
      <c r="BC51" s="159"/>
      <c r="BD51" s="26"/>
      <c r="BE51" s="159"/>
      <c r="BF51" s="26"/>
      <c r="BG51" s="159"/>
      <c r="BI51" s="121"/>
      <c r="BK51" s="22"/>
    </row>
    <row r="52" ht="17.25" customHeight="1">
      <c r="A52" s="23"/>
      <c r="B52" s="24"/>
      <c r="C52" s="24"/>
      <c r="D52" s="24"/>
      <c r="E52" s="123"/>
      <c r="F52" s="26"/>
      <c r="G52" s="24"/>
      <c r="H52" s="124"/>
      <c r="I52" s="125">
        <f>I49</f>
        <v>107</v>
      </c>
      <c r="J52" s="162" t="str">
        <f t="array" ref="J52">IF(MAX(IF((Main!$D$6:$D$798="ДПМУ")*(Main!$B$6:$B$798='Стан БГ'!C49)*(Main!$C$6:$C$798='Стан БГ'!H51),Main!$A$6:$A$798,0),L52,N52,P52,R52,T52)&gt;0,MAX(IF((Main!$D$6:$D$798="ДПМУ")*(Main!$B$6:$B$798='Стан БГ'!C49)*(Main!$C$6:$C$798='Стан БГ'!H51),Main!$A$6:$A$798,0),L52,N52,P52,R52,T52),"")</f>
        <v/>
      </c>
      <c r="K52" s="161">
        <f>K49</f>
        <v>92</v>
      </c>
      <c r="L52" s="265" t="str">
        <f t="array" ref="L52">IF(MAX(IF((Main!$D$6:$D$798="ДСМУ")*(Main!$B$6:$B$798='Стан БГ'!C49)*(Main!$C$6:$C$798='Стан БГ'!H51),Main!$A$6:$A$798,0),N52,R52,T52)&gt;0,MAX(IF((Main!$D$6:$D$798="ДСМУ")*(Main!$B$6:$B$798='Стан БГ'!C49)*(Main!$C$6:$C$798='Стан БГ'!H51),Main!$A$6:$A$798,0),N52,R52,T52),"")</f>
        <v/>
      </c>
      <c r="M52" s="161">
        <f>M49</f>
        <v>77</v>
      </c>
      <c r="N52" s="162" t="str">
        <f t="array" ref="N52">IF(MAX(IF((Main!$D$6:$D$798="ДВМП")*(Main!$B$6:$B$798='Стан БГ'!C49)*(Main!$C$6:$C$798='Стан БГ'!H51),Main!$A$6:$A$798,0),T52)&gt;0,MAX(IF((Main!$D$6:$D$798="ДВМП")*(Main!$B$6:$B$798='Стан БГ'!C49)*(Main!$C$6:$C$798='Стан БГ'!H51),Main!$A$6:$A$798,0),T52),"")</f>
        <v/>
      </c>
      <c r="O52" s="163">
        <f>O49</f>
        <v>92</v>
      </c>
      <c r="P52" s="128" t="str">
        <f t="array" ref="P52">IF(MAX(IF((Main!$D$6:$D$798="НПМУ")*(Main!$B$6:$B$798='Стан БГ'!C49)*(Main!$C$6:$C$798='Стан БГ'!H51),Main!$A$6:$A$798,0),R52,T52)&gt;0,MAX(IF((Main!$D$6:$D$798="НПМУ")*(Main!$B$6:$B$798='Стан БГ'!C49)*(Main!$C$6:$C$798='Стан БГ'!H51),Main!$A$6:$A$798,0),R52,T52),"")</f>
        <v/>
      </c>
      <c r="Q52" s="161">
        <f>Q49</f>
        <v>77</v>
      </c>
      <c r="R52" s="162" t="str">
        <f t="array" ref="R52">IF(MAX(IF((Main!$D$6:$D$798="НСМУ")*(Main!$B$6:$B$798='Стан БГ'!C49)*(Main!$C$6:$C$798='Стан БГ'!H51),Main!$A$6:$A$798,0),T52)&gt;0,MAX(IF((Main!$D$6:$D$798="НСМУ")*(Main!$B$6:$B$798='Стан БГ'!C49)*(Main!$C$6:$C$798='Стан БГ'!H51),Main!$A$6:$A$798,0),T52),"")</f>
        <v/>
      </c>
      <c r="S52" s="163">
        <f>S49</f>
        <v>61</v>
      </c>
      <c r="T52" s="129" t="str">
        <f t="array" ref="T52">IF(MAX(IF((Main!$D$6:$D$798="НВМП")*(Main!$B$6:$B$798='Стан БГ'!C49)*(Main!$C$6:$C$798='Стан БГ'!H51),Main!$A$6:$A$798,0))&gt;0,MAX(IF((Main!$D$6:$D$798="НВМП")*(Main!$B$6:$B$798='Стан БГ'!C49)*(Main!$C$6:$C$798='Стан БГ'!H51),Main!$A$6:$A$798,0)),"")</f>
        <v/>
      </c>
      <c r="U52" s="141">
        <f>U49</f>
        <v>365</v>
      </c>
      <c r="V52" s="26"/>
      <c r="W52" s="133">
        <f>IF($D48=1,W$8,IF($D48=2,W$9,IF($D48=3,W$10)))</f>
        <v>365</v>
      </c>
      <c r="X52" s="26"/>
      <c r="Y52" s="135">
        <f>IF($D48=1,Y$8,IF($D48=2,Y$9,IF($D48=3,Y$10)))</f>
        <v>365</v>
      </c>
      <c r="Z52" s="26"/>
      <c r="AA52" s="135">
        <f>IF($D48=1,AA$8,IF($D48=2,AA$9,IF($D48=3,AA$10)))</f>
        <v>365</v>
      </c>
      <c r="AB52" s="26"/>
      <c r="AC52" s="135">
        <f>IF($D48=1,AC$8,IF($D48=2,AC$9,IF($D48=3,AC$10)))</f>
        <v>365</v>
      </c>
      <c r="AD52" s="26"/>
      <c r="AE52" s="135">
        <f>AE49</f>
        <v>365</v>
      </c>
      <c r="AF52" s="26"/>
      <c r="AG52" s="135">
        <f>AG49</f>
        <v>365</v>
      </c>
      <c r="AH52" s="26"/>
      <c r="AI52" s="135">
        <f>AI49</f>
        <v>365</v>
      </c>
      <c r="AJ52" s="26"/>
      <c r="AK52" s="135">
        <f>AK49</f>
        <v>365</v>
      </c>
      <c r="AL52" s="33"/>
      <c r="AM52" s="141">
        <f>AM49</f>
        <v>365</v>
      </c>
      <c r="AN52" s="26"/>
      <c r="AO52" s="131" t="b">
        <f>IF($D51=1,AO$8,IF($D51=2,AO$9,IF($D51=3,AO$10)))</f>
        <v>0</v>
      </c>
      <c r="AP52" s="128"/>
      <c r="AQ52" s="135" t="b">
        <f>IF($D51=1,AQ$8,IF($D51=2,AQ$9,IF($D51=3,AQ$10)))</f>
        <v>0</v>
      </c>
      <c r="AR52" s="128">
        <v>45768.0</v>
      </c>
      <c r="AS52" s="131" t="b">
        <f>IF($D51=1,AS$8,IF($D51=2,AS$9,IF($D51=3,AS$10)))</f>
        <v>0</v>
      </c>
      <c r="AT52" s="26"/>
      <c r="AU52" s="135" t="b">
        <f>IF($D51=1,AU$8,IF($D51=2,AU$9,IF($D51=3,AU$10)))</f>
        <v>0</v>
      </c>
      <c r="AV52" s="33"/>
      <c r="AW52" s="179">
        <f>IF($D48=1,AW$8,IF($D48=2,AW$9,IF($D48=3,AW$10)))</f>
        <v>365</v>
      </c>
      <c r="AX52" s="26"/>
      <c r="AY52" s="135">
        <f>IF($D48=1,AY$8,IF($D48=2,AY$9,IF($D48=3,AY$10)))</f>
        <v>365</v>
      </c>
      <c r="AZ52" s="26"/>
      <c r="BA52" s="135">
        <f>IF($D48=1,BA$8,IF($D48=2,BA$9,IF($D48=3,BA$10)))</f>
        <v>122</v>
      </c>
      <c r="BB52" s="26"/>
      <c r="BC52" s="135">
        <f>IF($D48=1,BC$8,IF($D48=2,BC$9,IF($D48=3,BC$10)))</f>
        <v>184</v>
      </c>
      <c r="BD52" s="26"/>
      <c r="BE52" s="135">
        <f>BE49</f>
        <v>184</v>
      </c>
      <c r="BF52" s="26"/>
      <c r="BG52" s="135">
        <f>BG49</f>
        <v>365</v>
      </c>
      <c r="BI52" s="143">
        <f>BI49</f>
        <v>184</v>
      </c>
      <c r="BK52" s="22"/>
    </row>
    <row r="53" ht="4.5" customHeight="1">
      <c r="A53" s="59"/>
      <c r="B53" s="60"/>
      <c r="C53" s="167"/>
      <c r="D53" s="60"/>
      <c r="E53" s="168"/>
      <c r="F53" s="65"/>
      <c r="G53" s="60"/>
      <c r="H53" s="144"/>
      <c r="I53" s="145">
        <f>IF(AND(J48=1,OR($G48="вп",$G48="вд",$G48="шп",$G48="оа")),1,0)</f>
        <v>1</v>
      </c>
      <c r="J53" s="146">
        <f>IF(J52="",0,IF($C$2&lt;(I52+J52)-15,2,IF($C$2&lt;(I52+J52),1,"0")))</f>
        <v>0</v>
      </c>
      <c r="K53" s="147"/>
      <c r="L53" s="148">
        <f>IF(L52="",0,IF($C$2&lt;(K52+L52)-15,2,IF($C$2&lt;(K52+L52),1,"0")))</f>
        <v>0</v>
      </c>
      <c r="M53" s="147"/>
      <c r="N53" s="146">
        <f>IF(N52="",0,IF($C$2&lt;(M52+N52)-15,2,IF($C$2&lt;(M52+N52),1,"0")))</f>
        <v>0</v>
      </c>
      <c r="O53" s="149"/>
      <c r="P53" s="146">
        <f>IF(P52="",0,IF($C$2&lt;(O52+P52)-15,2,IF($C$2&lt;(O52+P52),1,"0")))</f>
        <v>0</v>
      </c>
      <c r="Q53" s="149"/>
      <c r="R53" s="172">
        <f>IF(R52="",0,IF($C$2&lt;(Q52+R52)-15,2,IF($C$2&lt;(Q52+R52),1,"0")))</f>
        <v>0</v>
      </c>
      <c r="S53" s="262"/>
      <c r="T53" s="171">
        <f>IF(T52="",0,IF($C$2&lt;(S52+T52)-15,2,IF($C$2&lt;(S52+T52),1,"0")))</f>
        <v>0</v>
      </c>
      <c r="U53" s="147"/>
      <c r="V53" s="146">
        <f>IF(V49 = "",0,IF($C$2&lt;(U49+V49)-15,2,IF($C$2&lt;(U49+V49),1,"0")))</f>
        <v>2</v>
      </c>
      <c r="W53" s="152"/>
      <c r="X53" s="146">
        <f>IF(X49 = "",0,IF($C$2&lt;(W49+X49)-15,2,IF($C$2&lt;(W49+X49),1,"0")))</f>
        <v>2</v>
      </c>
      <c r="Y53" s="147"/>
      <c r="Z53" s="146">
        <f>IF(Z49 = "",0,IF($C$2&lt;(Y49+Z49)-15,2,IF($C$2&lt;(Y49+Z49),1,"0")))</f>
        <v>2</v>
      </c>
      <c r="AA53" s="147"/>
      <c r="AB53" s="146">
        <f>IF(AB49 = "",0,IF($C$2&lt;(AA49+AB49)-15,2,IF($C$2&lt;(AA49+AB49),1,"0")))</f>
        <v>2</v>
      </c>
      <c r="AC53" s="147"/>
      <c r="AD53" s="146">
        <f>IF(AD49 = "",0,IF($C$2&lt;(AC49+AD49)-15,2,IF($C$2&lt;(AC49+AD49),1,"0")))</f>
        <v>2</v>
      </c>
      <c r="AE53" s="147"/>
      <c r="AF53" s="146">
        <f>IF(AF49 = "",0,IF($C$2&lt;(AE49+AF49)-15,2,IF($C$2&lt;(AE49+AF49),1,"0")))</f>
        <v>2</v>
      </c>
      <c r="AG53" s="147"/>
      <c r="AH53" s="146">
        <f>IF(AH49 = "",0,IF($C$2&lt;(AG49+AH49)-15,2,IF($C$2&lt;(AG49+AH49),1,"0")))</f>
        <v>2</v>
      </c>
      <c r="AI53" s="147"/>
      <c r="AJ53" s="146">
        <f>IF(AJ49 = "",0,IF($C$2&lt;(AI49+AJ49)-15,2,IF($C$2&lt;(AI49+AJ49),1,"0")))</f>
        <v>2</v>
      </c>
      <c r="AK53" s="147"/>
      <c r="AL53" s="171">
        <f>IF(AL49 = "",0,IF($C$2&lt;(AK49+AL49)-15,2,IF($C$2&lt;(AK49+AL49),1,"0")))</f>
        <v>0</v>
      </c>
      <c r="AM53" s="147"/>
      <c r="AN53" s="146" t="str">
        <f>IF(AN49 = "",0,IF($C$2&lt;(AM49+AN49)-15,2,IF($C$2&lt;(AM49+AN49),1,"0")))</f>
        <v>0</v>
      </c>
      <c r="AO53" s="150"/>
      <c r="AP53" s="146">
        <f>IF(AP52 = "",0,IF($C$2&lt;(AO49+AP52)-15,2,IF($C$2&lt;(AO49+AP52),1,"0")))</f>
        <v>0</v>
      </c>
      <c r="AQ53" s="150"/>
      <c r="AR53" s="146">
        <f>IF(AR52 = "",0,IF($C$2&lt;(AQ49+AR52)-15,2,IF($C$2&lt;(AQ49+AR52),1,"0")))</f>
        <v>2</v>
      </c>
      <c r="AS53" s="150"/>
      <c r="AT53" s="146">
        <f>IF(AT49 = "",0,IF($C$2&lt;(AS49+AT49)-15,2,IF($C$2&lt;(AS49+AT49),1,"0")))</f>
        <v>2</v>
      </c>
      <c r="AU53" s="150"/>
      <c r="AV53" s="171">
        <f>IF(AV49 = "",0,IF($C$2&lt;(AU49+AV49)-15,2,IF($C$2&lt;(AU49+AV49),1,"0")))</f>
        <v>2</v>
      </c>
      <c r="AW53" s="154"/>
      <c r="AX53" s="146">
        <f>IF(AX49 = "",0,IF($C$2&lt;(AW49+AX49)-15,2,IF($C$2&lt;(AW49+AX49),1,"0")))</f>
        <v>2</v>
      </c>
      <c r="AY53" s="147"/>
      <c r="AZ53" s="146">
        <f>IF(AZ49 = "",0,IF($C$2&lt;(AY49+AZ49)-15,2,IF($C$2&lt;(AY49+AZ49),1,"0")))</f>
        <v>2</v>
      </c>
      <c r="BA53" s="147"/>
      <c r="BB53" s="146">
        <f>IF(BB49 = "",0,IF($C$2&lt;(BA49+BB49)-15,2,IF($C$2&lt;(BA49+BB49),1,"0")))</f>
        <v>2</v>
      </c>
      <c r="BC53" s="147"/>
      <c r="BD53" s="146">
        <f>IF(BD49 = "",0,IF($C$2&lt;(BC49+BD49)-15,2,IF($C$2&lt;(BC49+BD49),1,"0")))</f>
        <v>2</v>
      </c>
      <c r="BE53" s="147"/>
      <c r="BF53" s="146" t="str">
        <f>IF(BF49 = "",0,IF($C$2&lt;(BE49+BF49)-15,2,IF($C$2&lt;(BE49+BF49),1,"0")))</f>
        <v>0</v>
      </c>
      <c r="BG53" s="147"/>
      <c r="BH53" s="172" t="str">
        <f>IF(BH49 = "",0,IF($C$2&lt;(BG49+BH49)-15,2,IF($C$2&lt;(BG49+BH49),1,"0")))</f>
        <v>0</v>
      </c>
      <c r="BI53" s="173"/>
      <c r="BJ53" s="172" t="str">
        <f>IF(BJ49 = "",0,IF($C$2&lt;(BI49+BJ49)-15,2,IF($C$2&lt;(BI49+BJ49),1,"0")))</f>
        <v>0</v>
      </c>
      <c r="BK53" s="22"/>
    </row>
    <row r="54" ht="1.5" customHeight="1">
      <c r="A54" s="103">
        <v>4.0</v>
      </c>
      <c r="B54" s="104" t="s">
        <v>73</v>
      </c>
      <c r="C54" s="174"/>
      <c r="D54" s="106">
        <v>1.0</v>
      </c>
      <c r="E54" s="107">
        <v>1.0</v>
      </c>
      <c r="F54" s="184">
        <f>IF(E54=1,1.5,1)</f>
        <v>1.5</v>
      </c>
      <c r="G54" s="220" t="s">
        <v>74</v>
      </c>
      <c r="H54" s="109" t="s">
        <v>55</v>
      </c>
      <c r="I54" s="110">
        <v>1.0</v>
      </c>
      <c r="J54" s="111">
        <f>IF(OR(J56=1,J56=2),1,0)</f>
        <v>0</v>
      </c>
      <c r="K54" s="110">
        <v>1.0</v>
      </c>
      <c r="L54" s="175">
        <f>IF(OR(L56=1,L56=2),1,0)</f>
        <v>0</v>
      </c>
      <c r="M54" s="110">
        <v>1.0</v>
      </c>
      <c r="N54" s="112">
        <f>IF(OR(N56=1,N56=2),1,0)</f>
        <v>0</v>
      </c>
      <c r="O54" s="110">
        <v>1.0</v>
      </c>
      <c r="P54" s="111">
        <f>IF(OR(P56=1,P56=2),1,0)</f>
        <v>0</v>
      </c>
      <c r="Q54" s="110">
        <v>1.0</v>
      </c>
      <c r="R54" s="112">
        <f>IF(OR(R56=1,R56=2),1,0)</f>
        <v>0</v>
      </c>
      <c r="S54" s="264">
        <v>1.0</v>
      </c>
      <c r="T54" s="246">
        <f>IF(OR(T56=1,T56=2),1,0)</f>
        <v>0</v>
      </c>
      <c r="U54" s="120"/>
      <c r="V54" s="115"/>
      <c r="W54" s="116"/>
      <c r="X54" s="115"/>
      <c r="Y54" s="114"/>
      <c r="Z54" s="115"/>
      <c r="AA54" s="114"/>
      <c r="AB54" s="115"/>
      <c r="AC54" s="114"/>
      <c r="AD54" s="115"/>
      <c r="AE54" s="114"/>
      <c r="AF54" s="115"/>
      <c r="AG54" s="114"/>
      <c r="AH54" s="115"/>
      <c r="AI54" s="114"/>
      <c r="AJ54" s="115"/>
      <c r="AK54" s="114"/>
      <c r="AL54" s="119"/>
      <c r="AM54" s="120"/>
      <c r="AN54" s="115"/>
      <c r="AO54" s="114"/>
      <c r="AP54" s="115"/>
      <c r="AQ54" s="114"/>
      <c r="AR54" s="115"/>
      <c r="AS54" s="114"/>
      <c r="AT54" s="115"/>
      <c r="AU54" s="114"/>
      <c r="AV54" s="119"/>
      <c r="AW54" s="120"/>
      <c r="AX54" s="115"/>
      <c r="AY54" s="114"/>
      <c r="AZ54" s="115"/>
      <c r="BA54" s="114"/>
      <c r="BB54" s="115"/>
      <c r="BC54" s="114"/>
      <c r="BD54" s="115"/>
      <c r="BE54" s="114"/>
      <c r="BF54" s="115"/>
      <c r="BG54" s="114"/>
      <c r="BH54" s="117"/>
      <c r="BI54" s="121"/>
      <c r="BJ54" s="117"/>
      <c r="BK54" s="22"/>
    </row>
    <row r="55" ht="17.25" hidden="1" customHeight="1">
      <c r="A55" s="23"/>
      <c r="B55" s="24"/>
      <c r="C55" s="122" t="s">
        <v>75</v>
      </c>
      <c r="D55" s="24"/>
      <c r="E55" s="123"/>
      <c r="F55" s="26"/>
      <c r="G55" s="24"/>
      <c r="H55" s="124"/>
      <c r="I55" s="125">
        <f>IF($D54=1,I$8,IF($D54=2,I$9,I$10))</f>
        <v>107</v>
      </c>
      <c r="J55" s="128">
        <f t="array" ref="J55">IF(MAX(IF((Main!$D$6:$D$798="ДПМУ")*(Main!$B$6:$B$798='Стан БГ'!C55)*(Main!$C$6:$C$798='Стан БГ'!H54),Main!$A$6:$A$798,0),L55,N55,P55,R55,T55)&gt;0,MAX(IF((Main!$D$6:$D$798="ДПМУ")*(Main!$B$6:$B$798='Стан БГ'!C55)*(Main!$C$6:$C$798='Стан БГ'!H54),Main!$A$6:$A$798,0),L55,N55,P55,R55,T55),"")</f>
        <v>45820</v>
      </c>
      <c r="K55" s="127">
        <f>IF($D54=1,K$8,IF($D54=2,K$9,K$10))</f>
        <v>92</v>
      </c>
      <c r="L55" s="128" t="str">
        <f t="array" ref="L55">IF(MAX(IF((Main!$D$6:$D$798="ДСМУ")*(Main!$B$6:$B$798='Стан БГ'!C55)*(Main!$C$6:$C$798='Стан БГ'!H54),Main!$A$6:$A$798,0),N55,R55,T55)&gt;0,MAX(IF((Main!$D$6:$D$798="ДСМУ")*(Main!$B$6:$B$798='Стан БГ'!C55)*(Main!$C$6:$C$798='Стан БГ'!H54),Main!$A$6:$A$798,0),N55,R55,T55),"")</f>
        <v/>
      </c>
      <c r="M55" s="127">
        <f>IF($D54=1,M$8,IF($D54=2,M$9,M$10))</f>
        <v>77</v>
      </c>
      <c r="N55" s="129" t="str">
        <f t="array" ref="N55">IF(MAX(IF((Main!$D$6:$D$798="ДВМП")*(Main!$B$6:$B$798='Стан БГ'!C55)*(Main!$C$6:$C$798='Стан БГ'!H54),Main!$A$6:$A$798,0),T55)&gt;0,MAX(IF((Main!$D$6:$D$798="ДВМП")*(Main!$B$6:$B$798='Стан БГ'!C55)*(Main!$C$6:$C$798='Стан БГ'!H54),Main!$A$6:$A$798,0),T55),"")</f>
        <v/>
      </c>
      <c r="O55" s="127">
        <f>IF($D54=1,O$8,IF($D54=2,O$9,O$10))</f>
        <v>92</v>
      </c>
      <c r="P55" s="129" t="str">
        <f t="array" ref="P55">IF(MAX(IF((Main!$D$6:$D$798="НПМУ")*(Main!$B$6:$B$798='Стан БГ'!C55)*(Main!$C$6:$C$798='Стан БГ'!H54),Main!$A$6:$A$798,0),R55,T55)&gt;0,MAX(IF((Main!$D$6:$D$798="НПМУ")*(Main!$B$6:$B$798='Стан БГ'!C55)*(Main!$C$6:$C$798='Стан БГ'!H54),Main!$A$6:$A$798,0),R55,T55),"")</f>
        <v/>
      </c>
      <c r="Q55" s="127">
        <f>IF($D54=1,Q$8,IF($D54=2,Q$9,Q$10))</f>
        <v>77</v>
      </c>
      <c r="R55" s="162" t="str">
        <f t="array" ref="R55">IF(MAX(IF((Main!$D$6:$D$798="НСМУ")*(Main!$B$6:$B$798='Стан БГ'!C55)*(Main!$C$6:$C$798='Стан БГ'!H54),Main!$A$6:$A$798,0),T55)&gt;0,MAX(IF((Main!$D$6:$D$798="НСМУ")*(Main!$B$6:$B$798='Стан БГ'!C55)*(Main!$C$6:$C$798='Стан БГ'!H54),Main!$A$6:$A$798,0),T55),"")</f>
        <v/>
      </c>
      <c r="S55" s="163">
        <f>IF($D54=1,S$8,IF($D54=2,S$9,S$10))</f>
        <v>61</v>
      </c>
      <c r="T55" s="129" t="str">
        <f t="array" ref="T55">IF(MAX(IF((Main!$D$6:$D$798="НВМП")*(Main!$B$6:$B$798='Стан БГ'!C55)*(Main!$C$6:$C$798='Стан БГ'!H54),Main!$A$6:$A$798,0))&gt;0,MAX(IF((Main!$D$6:$D$798="НВМП")*(Main!$B$6:$B$798='Стан БГ'!C55)*(Main!$C$6:$C$798='Стан БГ'!H54),Main!$A$6:$A$798,0)),"")</f>
        <v/>
      </c>
      <c r="U55" s="141">
        <f>IF($D54=1,U$8,IF($D54=2,U$9,IF($D54=3,U$10)))</f>
        <v>365</v>
      </c>
      <c r="V55" s="139"/>
      <c r="W55" s="133">
        <f>IF($D54=1,W$8,IF($D54=2,W$9,IF($D54=3,W$10)))</f>
        <v>365</v>
      </c>
      <c r="X55" s="134">
        <v>45817.0</v>
      </c>
      <c r="Y55" s="135">
        <f>IF($D54=1,Y$8,IF($D54=2,Y$9,IF($D54=3,Y$10)))</f>
        <v>365</v>
      </c>
      <c r="Z55" s="134">
        <v>45817.0</v>
      </c>
      <c r="AA55" s="135">
        <f>IF($D54=1,AA$8,IF($D54=2,AA$9,IF($D54=3,AA$10)))</f>
        <v>365</v>
      </c>
      <c r="AB55" s="134">
        <v>45817.0</v>
      </c>
      <c r="AC55" s="135">
        <f>IF($D54=1,AC$8,IF($D54=2,AC$9,IF($D54=3,AC$10)))</f>
        <v>365</v>
      </c>
      <c r="AD55" s="134">
        <v>45817.0</v>
      </c>
      <c r="AE55" s="135">
        <f>IF($D54=1,AE$8,IF($D54=2,AE$9,IF($D54=3,AE$10)))</f>
        <v>365</v>
      </c>
      <c r="AF55" s="134">
        <v>45817.0</v>
      </c>
      <c r="AG55" s="135">
        <f>IF($D54=1,AG$8,IF($D54=2,AG$9,IF($D54=3,AG$10)))</f>
        <v>365</v>
      </c>
      <c r="AH55" s="134">
        <v>45818.0</v>
      </c>
      <c r="AI55" s="135">
        <f>IF($D54=1,AI$8,IF($D54=2,AI$9,IF($D54=3,AI$10)))</f>
        <v>365</v>
      </c>
      <c r="AJ55" s="134">
        <v>45817.0</v>
      </c>
      <c r="AK55" s="135">
        <f>IF($D54=1,AK$8,IF($D54=2,AK$9,IF($D54=3,AK$10)))</f>
        <v>365</v>
      </c>
      <c r="AL55" s="178"/>
      <c r="AM55" s="141">
        <f>IF($D54=1,AM$8,IF($D54=2,AM$9,IF($D54=3,AM$10)))</f>
        <v>365</v>
      </c>
      <c r="AN55" s="248">
        <v>45947.0</v>
      </c>
      <c r="AO55" s="131">
        <f>IF($D54=1,AO$8,IF($D54=2,AO$9,IF($D54=3,AO$10)))</f>
        <v>184</v>
      </c>
      <c r="AP55" s="128">
        <v>45798.0</v>
      </c>
      <c r="AQ55" s="135">
        <f>IF($D54=1,AQ$8,IF($D54=2,AQ$9,IF($D54=3,AQ$10)))</f>
        <v>365</v>
      </c>
      <c r="AR55" s="126">
        <v>45916.0</v>
      </c>
      <c r="AS55" s="131">
        <f>IF($D54=1,AS$8,IF($D54=2,AS$9,IF($D54=3,AS$10)))</f>
        <v>365</v>
      </c>
      <c r="AT55" s="134">
        <v>45604.0</v>
      </c>
      <c r="AU55" s="135">
        <f>IF($D54=1,AU$8,IF($D54=2,AU$9,IF($D54=3,AU$10)))</f>
        <v>1095</v>
      </c>
      <c r="AV55" s="178">
        <v>45798.0</v>
      </c>
      <c r="AW55" s="179">
        <f>IF($D54=1,AW$8,IF($D54=2,AW$9,IF($D54=3,AW$10)))</f>
        <v>365</v>
      </c>
      <c r="AX55" s="134" t="str">
        <f t="array" ref="AX55">IF(MAX(IF((ISNUMBER(SEARCH("Складний пілотаж",Main!$M$6:$M$798)))*(Main!$B$6:$B$798='Стан БГ'!C55),Main!$A$6:$A$798,0))&gt;0,MAX(IF((ISNUMBER(SEARCH("Складний пілотаж",Main!$M$6:$M$798)))*(Main!$B$6:$B$798='Стан БГ'!C55),Main!$A$6:$A$798,0)),"")</f>
        <v/>
      </c>
      <c r="AY55" s="135">
        <f>IF($D54=1,AY$8,IF($D54=2,AY$9,IF($D54=3,AY$10)))</f>
        <v>365</v>
      </c>
      <c r="AZ55" s="134" t="str">
        <f t="array" ref="AZ55">IF(MAX(IF((ISNUMBER(SEARCH("Мала висота",Main!$M$6:$M$798)))*(Main!$B$6:$B$798='Стан БГ'!C55),Main!$A$6:$A$798,0))&gt;0,MAX(IF((ISNUMBER(SEARCH("Мала висота",Main!$M$6:$M$798)))*(Main!$B$6:$B$798='Стан БГ'!C55),Main!$A$6:$A$798,0)),"")</f>
        <v/>
      </c>
      <c r="BA55" s="135">
        <f>IF($D54=1,BA$8,IF($D54=2,BA$9,IF($D54=3,BA$10)))</f>
        <v>122</v>
      </c>
      <c r="BB55" s="134" t="str">
        <f t="array" ref="BB55">IF(MAX(IF((ISNUMBER(SEARCH("Гр. мала висота (ОНБ)",Main!$M$6:$M$798)))*(Main!$B$6:$B$798='Стан БГ'!C55),Main!$A$6:$A$798,0))&gt;0,MAX(IF((ISNUMBER(SEARCH("Гр. мала висота (ОНБ)",Main!$M$6:$M$798)))*(Main!$B$6:$B$798='Стан БГ'!C55),Main!$A$6:$A$798,0)),"")</f>
        <v/>
      </c>
      <c r="BC55" s="135">
        <f>IF($D54=1,BC$8,IF($D54=2,BC$9,IF($D54=3,BC$10)))</f>
        <v>184</v>
      </c>
      <c r="BD55" s="134" t="str">
        <f t="array" ref="BD55">IF(MAX(IF((ISNUMBER(SEARCH("Бойове застосування",Main!$M$6:$M$798)))*(Main!$B$6:$B$798='Стан БГ'!C55),Main!$A$6:$A$798,0))&gt;0,MAX(IF((ISNUMBER(SEARCH("Бойове застосування",Main!$M$6:$M$798)))*(Main!$B$6:$B$798='Стан БГ'!C55),Main!$A$6:$A$798,0)),"")</f>
        <v/>
      </c>
      <c r="BE55" s="135">
        <f>IF($D54=1,BE$8,IF($D54=2,BE$9,IF($D54=3,BE$10)))</f>
        <v>184</v>
      </c>
      <c r="BF55" s="134" t="str">
        <f t="array" ref="BF55">IF(MAX(IF((ISNUMBER(SEARCH("Групова злітаність",Main!$M$6:$M$798)))*(Main!$B$6:$B$798='Стан БГ'!C55),Main!$A$6:$A$798,0))&gt;0,MAX(IF((ISNUMBER(SEARCH("Групова злітаність",Main!$M$6:$M$798)))*(Main!$B$6:$B$798='Стан БГ'!C55),Main!$A$6:$A$798,0)),"")</f>
        <v/>
      </c>
      <c r="BG55" s="135">
        <f>IF($D54=1,BG$8,IF($D54=2,BG$9,IF($D54=3,BG$10)))</f>
        <v>365</v>
      </c>
      <c r="BH55" s="176" t="str">
        <f t="array" ref="BH55">IF(MAX(IF((ISNUMBER(SEARCH("На десантування",Main!$M$6:$M$798)))*(Main!$B$6:$B$798='Стан БГ'!C55),Main!$A$6:$A$798,0))&gt;0,MAX(IF((ISNUMBER(SEARCH("На десантування",Main!$M$6:$M$798)))*(Main!$B$6:$B$798='Стан БГ'!C55),Main!$A$6:$A$798,0)),"")</f>
        <v/>
      </c>
      <c r="BI55" s="143">
        <f>IF($D54=1,BI$8,IF($D54=2,BI$9,IF($D54=3,BI$10)))</f>
        <v>184</v>
      </c>
      <c r="BJ55" s="142"/>
      <c r="BK55" s="22"/>
    </row>
    <row r="56" ht="4.5" hidden="1" customHeight="1">
      <c r="A56" s="23"/>
      <c r="B56" s="24"/>
      <c r="C56" s="24"/>
      <c r="D56" s="24"/>
      <c r="E56" s="123"/>
      <c r="F56" s="26"/>
      <c r="G56" s="24"/>
      <c r="H56" s="144"/>
      <c r="I56" s="145">
        <f>IF(AND(J54=1,OR($G54="вп",$G54="вд",$G54="шп",$G54="оа")),1,0)</f>
        <v>0</v>
      </c>
      <c r="J56" s="146" t="str">
        <f>IF(J55="",0,IF($C$2&lt;(I55+J55)-15,2,IF($C$2&lt;(I55+J55),1,"0")))</f>
        <v>0</v>
      </c>
      <c r="K56" s="147"/>
      <c r="L56" s="148">
        <f>IF(L55="",0,IF($C$2&lt;(K55+L55)-15,2,IF($C$2&lt;(K55+L55),1,"0")))</f>
        <v>0</v>
      </c>
      <c r="M56" s="147"/>
      <c r="N56" s="146">
        <f>IF(N55="",0,IF($C$2&lt;(M55+N55)-15,2,IF($C$2&lt;(M55+N55),1,"0")))</f>
        <v>0</v>
      </c>
      <c r="O56" s="149"/>
      <c r="P56" s="146">
        <f>IF(P55="",0,IF($C$2&lt;(O55+P55)-15,2,IF($C$2&lt;(O55+P55),1,"0")))</f>
        <v>0</v>
      </c>
      <c r="Q56" s="149"/>
      <c r="R56" s="172">
        <f>IF(R55="",0,IF($C$2&lt;(Q55+R55)-15,2,IF($C$2&lt;(Q55+R55),1,"0")))</f>
        <v>0</v>
      </c>
      <c r="S56" s="262"/>
      <c r="T56" s="171">
        <f>IF(T55="",0,IF($C$2&lt;(S55+T55)-15,2,IF($C$2&lt;(S55+T55),1,"0")))</f>
        <v>0</v>
      </c>
      <c r="U56" s="154"/>
      <c r="V56" s="26"/>
      <c r="W56" s="152"/>
      <c r="X56" s="26"/>
      <c r="Y56" s="153"/>
      <c r="Z56" s="26"/>
      <c r="AA56" s="153"/>
      <c r="AB56" s="26"/>
      <c r="AC56" s="153"/>
      <c r="AD56" s="26"/>
      <c r="AE56" s="153"/>
      <c r="AF56" s="26"/>
      <c r="AG56" s="153"/>
      <c r="AH56" s="26"/>
      <c r="AI56" s="153"/>
      <c r="AJ56" s="26"/>
      <c r="AK56" s="153"/>
      <c r="AL56" s="33"/>
      <c r="AM56" s="154"/>
      <c r="AN56" s="26"/>
      <c r="AO56" s="150"/>
      <c r="AP56" s="146" t="str">
        <f>IF(AP55 = "",0,IF($C$2&lt;(AO55+AP55)-15,2,IF($C$2&lt;(AO55+AP55),1,"0")))</f>
        <v>0</v>
      </c>
      <c r="AQ56" s="150"/>
      <c r="AR56" s="146">
        <f>IF(AR55 = "",0,IF($C$2&lt;(AQ55+AR55)-15,2,IF($C$2&lt;(AQ55+AR55),1,"0")))</f>
        <v>2</v>
      </c>
      <c r="AS56" s="150"/>
      <c r="AT56" s="26"/>
      <c r="AU56" s="153"/>
      <c r="AV56" s="33"/>
      <c r="AW56" s="181"/>
      <c r="AX56" s="26"/>
      <c r="AY56" s="153"/>
      <c r="AZ56" s="26"/>
      <c r="BA56" s="153"/>
      <c r="BB56" s="26"/>
      <c r="BC56" s="153"/>
      <c r="BD56" s="26"/>
      <c r="BE56" s="153"/>
      <c r="BF56" s="26"/>
      <c r="BG56" s="153"/>
      <c r="BI56" s="155"/>
      <c r="BK56" s="22"/>
    </row>
    <row r="57" ht="1.5" hidden="1" customHeight="1">
      <c r="A57" s="23"/>
      <c r="B57" s="24"/>
      <c r="C57" s="24"/>
      <c r="D57" s="24"/>
      <c r="E57" s="123"/>
      <c r="F57" s="26"/>
      <c r="G57" s="24"/>
      <c r="H57" s="156"/>
      <c r="I57" s="110">
        <v>1.0</v>
      </c>
      <c r="J57" s="115">
        <f>IF(OR(J59=1,J59=2),1,0)</f>
        <v>0</v>
      </c>
      <c r="K57" s="110">
        <v>1.0</v>
      </c>
      <c r="L57" s="157">
        <f>IF(OR(L59=1,L59=2),1,0)</f>
        <v>0</v>
      </c>
      <c r="M57" s="110">
        <v>1.0</v>
      </c>
      <c r="N57" s="117">
        <f>IF(OR(N59=1,N59=2),1,0)</f>
        <v>0</v>
      </c>
      <c r="O57" s="110">
        <v>1.0</v>
      </c>
      <c r="P57" s="115">
        <f>IF(OR(P59=1,P59=2),1,0)</f>
        <v>0</v>
      </c>
      <c r="Q57" s="110">
        <v>1.0</v>
      </c>
      <c r="R57" s="117">
        <f>IF(OR(R59=1,R59=2),1,0)</f>
        <v>0</v>
      </c>
      <c r="S57" s="264">
        <v>1.0</v>
      </c>
      <c r="T57" s="119">
        <f>IF(OR(T59=1,T59=2),1,0)</f>
        <v>0</v>
      </c>
      <c r="U57" s="120"/>
      <c r="V57" s="26"/>
      <c r="W57" s="116"/>
      <c r="X57" s="26"/>
      <c r="Y57" s="159"/>
      <c r="Z57" s="26"/>
      <c r="AA57" s="159"/>
      <c r="AB57" s="26"/>
      <c r="AC57" s="159"/>
      <c r="AD57" s="26"/>
      <c r="AE57" s="159"/>
      <c r="AF57" s="26"/>
      <c r="AG57" s="159"/>
      <c r="AH57" s="26"/>
      <c r="AI57" s="159"/>
      <c r="AJ57" s="26"/>
      <c r="AK57" s="159"/>
      <c r="AL57" s="33"/>
      <c r="AM57" s="120"/>
      <c r="AN57" s="26"/>
      <c r="AO57" s="114"/>
      <c r="AP57" s="115"/>
      <c r="AQ57" s="114"/>
      <c r="AR57" s="115"/>
      <c r="AS57" s="114"/>
      <c r="AT57" s="26"/>
      <c r="AU57" s="159"/>
      <c r="AV57" s="33"/>
      <c r="AW57" s="183"/>
      <c r="AX57" s="26"/>
      <c r="AY57" s="159"/>
      <c r="AZ57" s="26"/>
      <c r="BA57" s="159"/>
      <c r="BB57" s="26"/>
      <c r="BC57" s="159"/>
      <c r="BD57" s="26"/>
      <c r="BE57" s="159"/>
      <c r="BF57" s="26"/>
      <c r="BG57" s="159"/>
      <c r="BI57" s="121"/>
      <c r="BK57" s="22"/>
    </row>
    <row r="58" ht="15.0" hidden="1" customHeight="1">
      <c r="A58" s="23"/>
      <c r="B58" s="24"/>
      <c r="C58" s="24"/>
      <c r="D58" s="24"/>
      <c r="E58" s="123"/>
      <c r="F58" s="26"/>
      <c r="G58" s="24"/>
      <c r="H58" s="124"/>
      <c r="I58" s="125">
        <f>I55</f>
        <v>107</v>
      </c>
      <c r="J58" s="162" t="str">
        <f t="array" ref="J58">IF(MAX(IF((Main!$D$6:$D$798="ДПМУ")*(Main!$B$6:$B$798='Стан БГ'!C55)*(Main!$C$6:$C$798='Стан БГ'!H57),Main!$A$6:$A$798,0),L58,N58,P58,R58,T58)&gt;0,MAX(IF((Main!$D$6:$D$798="ДПМУ")*(Main!$B$6:$B$798='Стан БГ'!C55)*(Main!$C$6:$C$798='Стан БГ'!H57),Main!$A$6:$A$798,0),L58,N58,P58,R58,T58),"")</f>
        <v/>
      </c>
      <c r="K58" s="161">
        <f>K55</f>
        <v>92</v>
      </c>
      <c r="L58" s="162" t="str">
        <f t="array" ref="L58">IF(MAX(IF((Main!$D$6:$D$798="ДСМУ")*(Main!$B$6:$B$798='Стан БГ'!C55)*(Main!$C$6:$C$798='Стан БГ'!H57),Main!$A$6:$A$798,0),N58,R58,T58)&gt;0,MAX(IF((Main!$D$6:$D$798="ДСМУ")*(Main!$B$6:$B$798='Стан БГ'!C55)*(Main!$C$6:$C$798='Стан БГ'!H57),Main!$A$6:$A$798,0),N58,R58,T58),"")</f>
        <v/>
      </c>
      <c r="M58" s="161">
        <f>M55</f>
        <v>77</v>
      </c>
      <c r="N58" s="162" t="str">
        <f t="array" ref="N58">IF(MAX(IF((Main!$D$6:$D$798="ДВМП")*(Main!$B$6:$B$798='Стан БГ'!C55)*(Main!$C$6:$C$798='Стан БГ'!H57),Main!$A$6:$A$798,0),T58)&gt;0,MAX(IF((Main!$D$6:$D$798="ДВМП")*(Main!$B$6:$B$798='Стан БГ'!C55)*(Main!$C$6:$C$798='Стан БГ'!H57),Main!$A$6:$A$798,0),T58),"")</f>
        <v/>
      </c>
      <c r="O58" s="163">
        <f>O55</f>
        <v>92</v>
      </c>
      <c r="P58" s="128" t="str">
        <f t="array" ref="P58">IF(MAX(IF((Main!$D$6:$D$798="НПМУ")*(Main!$B$6:$B$798='Стан БГ'!C55)*(Main!$C$6:$C$798='Стан БГ'!H57),Main!$A$6:$A$798,0),R58,T58)&gt;0,MAX(IF((Main!$D$6:$D$798="НПМУ")*(Main!$B$6:$B$798='Стан БГ'!C55)*(Main!$C$6:$C$798='Стан БГ'!H57),Main!$A$6:$A$798,0),R58,T58),"")</f>
        <v/>
      </c>
      <c r="Q58" s="161">
        <f>Q55</f>
        <v>77</v>
      </c>
      <c r="R58" s="162" t="str">
        <f t="array" ref="R58">IF(MAX(IF((Main!$D$6:$D$798="НСМУ")*(Main!$B$6:$B$798='Стан БГ'!C55)*(Main!$C$6:$C$798='Стан БГ'!H57),Main!$A$6:$A$798,0),T58)&gt;0,MAX(IF((Main!$D$6:$D$798="НСМУ")*(Main!$B$6:$B$798='Стан БГ'!C55)*(Main!$C$6:$C$798='Стан БГ'!H57),Main!$A$6:$A$798,0),T58),"")</f>
        <v/>
      </c>
      <c r="S58" s="163">
        <f>S55</f>
        <v>61</v>
      </c>
      <c r="T58" s="129" t="str">
        <f t="array" ref="T58">IF(MAX(IF((Main!$D$6:$D$798="НВМП")*(Main!$B$6:$B$798='Стан БГ'!C55)*(Main!$C$6:$C$798='Стан БГ'!H57),Main!$A$6:$A$798,0))&gt;0,MAX(IF((Main!$D$6:$D$798="НВМП")*(Main!$B$6:$B$798='Стан БГ'!C55)*(Main!$C$6:$C$798='Стан БГ'!H57),Main!$A$6:$A$798,0)),"")</f>
        <v/>
      </c>
      <c r="U58" s="141">
        <f>U55</f>
        <v>365</v>
      </c>
      <c r="V58" s="26"/>
      <c r="W58" s="133">
        <f>IF($D54=1,W$8,IF($D54=2,W$9,IF($D54=3,W$10)))</f>
        <v>365</v>
      </c>
      <c r="X58" s="26"/>
      <c r="Y58" s="135">
        <f>IF($D54=1,Y$8,IF($D54=2,Y$9,IF($D54=3,Y$10)))</f>
        <v>365</v>
      </c>
      <c r="Z58" s="26"/>
      <c r="AA58" s="135">
        <f>IF($D54=1,AA$8,IF($D54=2,AA$9,IF($D54=3,AA$10)))</f>
        <v>365</v>
      </c>
      <c r="AB58" s="26"/>
      <c r="AC58" s="135">
        <f>IF($D54=1,AC$8,IF($D54=2,AC$9,IF($D54=3,AC$10)))</f>
        <v>365</v>
      </c>
      <c r="AD58" s="26"/>
      <c r="AE58" s="135">
        <f>AE55</f>
        <v>365</v>
      </c>
      <c r="AF58" s="26"/>
      <c r="AG58" s="135">
        <f>AG55</f>
        <v>365</v>
      </c>
      <c r="AH58" s="26"/>
      <c r="AI58" s="135">
        <f>AI55</f>
        <v>365</v>
      </c>
      <c r="AJ58" s="26"/>
      <c r="AK58" s="135">
        <f>AK55</f>
        <v>365</v>
      </c>
      <c r="AL58" s="33"/>
      <c r="AM58" s="141">
        <f>AM55</f>
        <v>365</v>
      </c>
      <c r="AN58" s="26"/>
      <c r="AO58" s="131" t="b">
        <f>IF($D57=1,AO$8,IF($D57=2,AO$9,IF($D57=3,AO$10)))</f>
        <v>0</v>
      </c>
      <c r="AP58" s="128"/>
      <c r="AQ58" s="135" t="b">
        <f>IF($D57=1,AQ$8,IF($D57=2,AQ$9,IF($D57=3,AQ$10)))</f>
        <v>0</v>
      </c>
      <c r="AR58" s="128"/>
      <c r="AS58" s="131" t="b">
        <f>IF($D57=1,AS$8,IF($D57=2,AS$9,IF($D57=3,AS$10)))</f>
        <v>0</v>
      </c>
      <c r="AT58" s="26"/>
      <c r="AU58" s="135" t="b">
        <f>IF($D57=1,AU$8,IF($D57=2,AU$9,IF($D57=3,AU$10)))</f>
        <v>0</v>
      </c>
      <c r="AV58" s="33"/>
      <c r="AW58" s="179">
        <f>IF($D54=1,AW$8,IF($D54=2,AW$9,IF($D54=3,AW$10)))</f>
        <v>365</v>
      </c>
      <c r="AX58" s="26"/>
      <c r="AY58" s="135">
        <f>IF($D54=1,AY$8,IF($D54=2,AY$9,IF($D54=3,AY$10)))</f>
        <v>365</v>
      </c>
      <c r="AZ58" s="26"/>
      <c r="BA58" s="135">
        <f>IF($D54=1,BA$8,IF($D54=2,BA$9,IF($D54=3,BA$10)))</f>
        <v>122</v>
      </c>
      <c r="BB58" s="26"/>
      <c r="BC58" s="135">
        <f>IF($D54=1,BC$8,IF($D54=2,BC$9,IF($D54=3,BC$10)))</f>
        <v>184</v>
      </c>
      <c r="BD58" s="26"/>
      <c r="BE58" s="135">
        <f>BE55</f>
        <v>184</v>
      </c>
      <c r="BF58" s="26"/>
      <c r="BG58" s="135">
        <f>BG55</f>
        <v>365</v>
      </c>
      <c r="BI58" s="143">
        <f>BI55</f>
        <v>184</v>
      </c>
      <c r="BK58" s="22"/>
    </row>
    <row r="59" ht="4.5" hidden="1" customHeight="1">
      <c r="A59" s="59"/>
      <c r="B59" s="60"/>
      <c r="C59" s="167"/>
      <c r="D59" s="60"/>
      <c r="E59" s="168"/>
      <c r="F59" s="65"/>
      <c r="G59" s="60"/>
      <c r="H59" s="144"/>
      <c r="I59" s="145">
        <f>IF(AND(J54=1,OR($G54="вп",$G54="вд",$G54="шп",$G54="оа")),1,0)</f>
        <v>0</v>
      </c>
      <c r="J59" s="146">
        <f>IF(J58="",0,IF($C$2&lt;(I58+J58)-15,2,IF($C$2&lt;(I58+J58),1,"0")))</f>
        <v>0</v>
      </c>
      <c r="K59" s="147"/>
      <c r="L59" s="148">
        <f>IF(L58="",0,IF($C$2&lt;(K58+L58)-15,2,IF($C$2&lt;(K58+L58),1,"0")))</f>
        <v>0</v>
      </c>
      <c r="M59" s="147"/>
      <c r="N59" s="146">
        <f>IF(N58="",0,IF($C$2&lt;(M58+N58)-15,2,IF($C$2&lt;(M58+N58),1,"0")))</f>
        <v>0</v>
      </c>
      <c r="O59" s="149"/>
      <c r="P59" s="146">
        <f>IF(P58="",0,IF($C$2&lt;(O58+P58)-15,2,IF($C$2&lt;(O58+P58),1,"0")))</f>
        <v>0</v>
      </c>
      <c r="Q59" s="149"/>
      <c r="R59" s="172">
        <f>IF(R58="",0,IF($C$2&lt;(Q58+R58)-15,2,IF($C$2&lt;(Q58+R58),1,"0")))</f>
        <v>0</v>
      </c>
      <c r="S59" s="262"/>
      <c r="T59" s="171">
        <f>IF(T58="",0,IF($C$2&lt;(S58+T58)-15,2,IF($C$2&lt;(S58+T58),1,"0")))</f>
        <v>0</v>
      </c>
      <c r="U59" s="147"/>
      <c r="V59" s="146">
        <f>IF(V55 = "",0,IF($C$2&lt;(U55+V55)-15,2,IF($C$2&lt;(U55+V55),1,"0")))</f>
        <v>0</v>
      </c>
      <c r="W59" s="152"/>
      <c r="X59" s="146">
        <f>IF(X55 = "",0,IF($C$2&lt;(W55+X55)-15,2,IF($C$2&lt;(W55+X55),1,"0")))</f>
        <v>2</v>
      </c>
      <c r="Y59" s="147"/>
      <c r="Z59" s="146">
        <f>IF(Z55 = "",0,IF($C$2&lt;(Y55+Z55)-15,2,IF($C$2&lt;(Y55+Z55),1,"0")))</f>
        <v>2</v>
      </c>
      <c r="AA59" s="147"/>
      <c r="AB59" s="146">
        <f>IF(AB55 = "",0,IF($C$2&lt;(AA55+AB55)-15,2,IF($C$2&lt;(AA55+AB55),1,"0")))</f>
        <v>2</v>
      </c>
      <c r="AC59" s="147"/>
      <c r="AD59" s="146">
        <f>IF(AD55 = "",0,IF($C$2&lt;(AC55+AD55)-15,2,IF($C$2&lt;(AC55+AD55),1,"0")))</f>
        <v>2</v>
      </c>
      <c r="AE59" s="147"/>
      <c r="AF59" s="146">
        <f>IF(AF55 = "",0,IF($C$2&lt;(AE55+AF55)-15,2,IF($C$2&lt;(AE55+AF55),1,"0")))</f>
        <v>2</v>
      </c>
      <c r="AG59" s="147"/>
      <c r="AH59" s="146">
        <f>IF(AH55 = "",0,IF($C$2&lt;(AG55+AH55)-15,2,IF($C$2&lt;(AG55+AH55),1,"0")))</f>
        <v>2</v>
      </c>
      <c r="AI59" s="147"/>
      <c r="AJ59" s="146">
        <f>IF(AJ55 = "",0,IF($C$2&lt;(AI55+AJ55)-15,2,IF($C$2&lt;(AI55+AJ55),1,"0")))</f>
        <v>2</v>
      </c>
      <c r="AK59" s="147"/>
      <c r="AL59" s="171">
        <f>IF(AL55 = "",0,IF($C$2&lt;(AK55+AL55)-15,2,IF($C$2&lt;(AK55+AL55),1,"0")))</f>
        <v>0</v>
      </c>
      <c r="AM59" s="147"/>
      <c r="AN59" s="146">
        <f>IF(AN55 = "",0,IF($C$2&lt;(AM55+AN55)-15,2,IF($C$2&lt;(AM55+AN55),1,"0")))</f>
        <v>2</v>
      </c>
      <c r="AO59" s="150"/>
      <c r="AP59" s="146">
        <f>IF(AP58 = "",0,IF($C$2&lt;(AO55+AP58)-15,2,IF($C$2&lt;(AO55+AP58),1,"0")))</f>
        <v>0</v>
      </c>
      <c r="AQ59" s="150"/>
      <c r="AR59" s="146">
        <f>IF(AR58 = "",0,IF($C$2&lt;(AQ55+AR58)-15,2,IF($C$2&lt;(AQ55+AR58),1,"0")))</f>
        <v>0</v>
      </c>
      <c r="AS59" s="150"/>
      <c r="AT59" s="146" t="str">
        <f>IF(AT55 = "",0,IF($C$2&lt;(AS55+AT55)-15,2,IF($C$2&lt;(AS55+AT55),1,"0")))</f>
        <v>0</v>
      </c>
      <c r="AU59" s="150"/>
      <c r="AV59" s="171">
        <f>IF(AV55 = "",0,IF($C$2&lt;(AU55+AV55)-15,2,IF($C$2&lt;(AU55+AV55),1,"0")))</f>
        <v>2</v>
      </c>
      <c r="AW59" s="154"/>
      <c r="AX59" s="146">
        <f>IF(AX55 = "",0,IF($C$2&lt;(AW55+AX55)-15,2,IF($C$2&lt;(AW55+AX55),1,"0")))</f>
        <v>0</v>
      </c>
      <c r="AY59" s="147"/>
      <c r="AZ59" s="146">
        <f>IF(AZ55 = "",0,IF($C$2&lt;(AY55+AZ55)-15,2,IF($C$2&lt;(AY55+AZ55),1,"0")))</f>
        <v>0</v>
      </c>
      <c r="BA59" s="147"/>
      <c r="BB59" s="146">
        <f>IF(BB55 = "",0,IF($C$2&lt;(BA55+BB55)-15,2,IF($C$2&lt;(BA55+BB55),1,"0")))</f>
        <v>0</v>
      </c>
      <c r="BC59" s="147"/>
      <c r="BD59" s="146">
        <f>IF(BD55 = "",0,IF($C$2&lt;(BC55+BD55)-15,2,IF($C$2&lt;(BC55+BD55),1,"0")))</f>
        <v>0</v>
      </c>
      <c r="BE59" s="147"/>
      <c r="BF59" s="146">
        <f>IF(BF55 = "",0,IF($C$2&lt;(BE55+BF55)-15,2,IF($C$2&lt;(BE55+BF55),1,"0")))</f>
        <v>0</v>
      </c>
      <c r="BG59" s="147"/>
      <c r="BH59" s="172">
        <f>IF(BH55 = "",0,IF($C$2&lt;(BG55+BH55)-15,2,IF($C$2&lt;(BG55+BH55),1,"0")))</f>
        <v>0</v>
      </c>
      <c r="BI59" s="173"/>
      <c r="BJ59" s="172">
        <f>IF(BJ55 = "",0,IF($C$2&lt;(BI55+BJ55)-15,2,IF($C$2&lt;(BI55+BJ55),1,"0")))</f>
        <v>0</v>
      </c>
      <c r="BK59" s="22"/>
    </row>
    <row r="60" ht="1.5" customHeight="1">
      <c r="A60" s="103">
        <v>5.0</v>
      </c>
      <c r="B60" s="104" t="s">
        <v>76</v>
      </c>
      <c r="C60" s="174"/>
      <c r="D60" s="106">
        <v>2.0</v>
      </c>
      <c r="E60" s="107">
        <v>1.0</v>
      </c>
      <c r="F60" s="184">
        <f>IF(E60=1,1.5,1)</f>
        <v>1.5</v>
      </c>
      <c r="G60" s="245"/>
      <c r="H60" s="109" t="s">
        <v>55</v>
      </c>
      <c r="I60" s="110">
        <v>1.0</v>
      </c>
      <c r="J60" s="111">
        <f>IF(OR(J62=1,J62=2),1,0)</f>
        <v>0</v>
      </c>
      <c r="K60" s="110">
        <v>1.0</v>
      </c>
      <c r="L60" s="175">
        <f>IF(OR(L62=1,L62=2),1,0)</f>
        <v>0</v>
      </c>
      <c r="M60" s="110">
        <v>1.0</v>
      </c>
      <c r="N60" s="112">
        <f>IF(OR(N62=1,N62=2),1,0)</f>
        <v>0</v>
      </c>
      <c r="O60" s="110">
        <v>1.0</v>
      </c>
      <c r="P60" s="111">
        <f>IF(OR(P62=1,P62=2),1,0)</f>
        <v>0</v>
      </c>
      <c r="Q60" s="110">
        <v>1.0</v>
      </c>
      <c r="R60" s="112">
        <f>IF(OR(R62=1,R62=2),1,0)</f>
        <v>0</v>
      </c>
      <c r="S60" s="264">
        <v>1.0</v>
      </c>
      <c r="T60" s="246">
        <f>IF(OR(T62=1,T62=2),1,0)</f>
        <v>0</v>
      </c>
      <c r="U60" s="120"/>
      <c r="V60" s="115"/>
      <c r="W60" s="116"/>
      <c r="X60" s="115"/>
      <c r="Y60" s="114"/>
      <c r="Z60" s="115"/>
      <c r="AA60" s="114"/>
      <c r="AB60" s="115"/>
      <c r="AC60" s="114"/>
      <c r="AD60" s="115"/>
      <c r="AE60" s="114"/>
      <c r="AF60" s="115"/>
      <c r="AG60" s="114"/>
      <c r="AH60" s="115"/>
      <c r="AI60" s="114"/>
      <c r="AJ60" s="115"/>
      <c r="AK60" s="114"/>
      <c r="AL60" s="119"/>
      <c r="AM60" s="120"/>
      <c r="AN60" s="115"/>
      <c r="AO60" s="114"/>
      <c r="AP60" s="115"/>
      <c r="AQ60" s="114"/>
      <c r="AR60" s="115"/>
      <c r="AS60" s="114"/>
      <c r="AT60" s="115"/>
      <c r="AU60" s="114"/>
      <c r="AV60" s="119"/>
      <c r="AW60" s="120"/>
      <c r="AX60" s="115"/>
      <c r="AY60" s="114"/>
      <c r="AZ60" s="115"/>
      <c r="BA60" s="114"/>
      <c r="BB60" s="115"/>
      <c r="BC60" s="114"/>
      <c r="BD60" s="115"/>
      <c r="BE60" s="114"/>
      <c r="BF60" s="115"/>
      <c r="BG60" s="114"/>
      <c r="BH60" s="117"/>
      <c r="BI60" s="121"/>
      <c r="BJ60" s="117"/>
      <c r="BK60" s="22"/>
    </row>
    <row r="61" ht="15.0" hidden="1" customHeight="1">
      <c r="A61" s="23"/>
      <c r="B61" s="24"/>
      <c r="C61" s="122" t="s">
        <v>77</v>
      </c>
      <c r="D61" s="24"/>
      <c r="E61" s="123"/>
      <c r="F61" s="26"/>
      <c r="G61" s="24"/>
      <c r="H61" s="124"/>
      <c r="I61" s="125">
        <f>IF($D60=1,I$8,IF($D60=2,I$9,I$10))</f>
        <v>92</v>
      </c>
      <c r="J61" s="128">
        <f t="array" ref="J61">IF(MAX(IF((Main!$D$6:$D$798="ДПМУ")*(Main!$B$6:$B$798='Стан БГ'!C61)*(Main!$C$6:$C$798='Стан БГ'!H60),Main!$A$6:$A$798,0),L61,N61,P61,R61,T61)&gt;0,MAX(IF((Main!$D$6:$D$798="ДПМУ")*(Main!$B$6:$B$798='Стан БГ'!C61)*(Main!$C$6:$C$798='Стан БГ'!H60),Main!$A$6:$A$798,0),L61,N61,P61,R61,T61),"")</f>
        <v>45877</v>
      </c>
      <c r="K61" s="127">
        <f>IF($D60=1,K$8,IF($D60=2,K$9,K$10))</f>
        <v>77</v>
      </c>
      <c r="L61" s="128">
        <f t="array" ref="L61">IF(MAX(IF((Main!$D$6:$D$798="ДСМУ")*(Main!$B$6:$B$798='Стан БГ'!C61)*(Main!$C$6:$C$798='Стан БГ'!H60),Main!$A$6:$A$798,0),N61,R61,T61)&gt;0,MAX(IF((Main!$D$6:$D$798="ДСМУ")*(Main!$B$6:$B$798='Стан БГ'!C61)*(Main!$C$6:$C$798='Стан БГ'!H60),Main!$A$6:$A$798,0),N61,R61,T61),"")</f>
        <v>45875</v>
      </c>
      <c r="M61" s="127">
        <f>IF($D60=1,M$8,IF($D60=2,M$9,M$10))</f>
        <v>61</v>
      </c>
      <c r="N61" s="129" t="str">
        <f t="array" ref="N61">IF(MAX(IF((Main!$D$6:$D$798="ДВМП")*(Main!$B$6:$B$798='Стан БГ'!C61)*(Main!$C$6:$C$798='Стан БГ'!H60),Main!$A$6:$A$798,0),T61)&gt;0,MAX(IF((Main!$D$6:$D$798="ДВМП")*(Main!$B$6:$B$798='Стан БГ'!C61)*(Main!$C$6:$C$798='Стан БГ'!H60),Main!$A$6:$A$798,0),T61),"")</f>
        <v/>
      </c>
      <c r="O61" s="127">
        <f>IF($D60=1,O$8,IF($D60=2,O$9,O$10))</f>
        <v>77</v>
      </c>
      <c r="P61" s="129" t="str">
        <f t="array" ref="P61">IF(MAX(IF((Main!$D$6:$D$798="НПМУ")*(Main!$B$6:$B$798='Стан БГ'!C61)*(Main!$C$6:$C$798='Стан БГ'!H60),Main!$A$6:$A$798,0),R61,T61)&gt;0,MAX(IF((Main!$D$6:$D$798="НПМУ")*(Main!$B$6:$B$798='Стан БГ'!C61)*(Main!$C$6:$C$798='Стан БГ'!H60),Main!$A$6:$A$798,0),R61,T61),"")</f>
        <v/>
      </c>
      <c r="Q61" s="127">
        <f>IF($D60=1,Q$8,IF($D60=2,Q$9,Q$10))</f>
        <v>61</v>
      </c>
      <c r="R61" s="162" t="str">
        <f t="array" ref="R61">IF(MAX(IF((Main!$D$6:$D$798="НСМУ")*(Main!$B$6:$B$798='Стан БГ'!C61)*(Main!$C$6:$C$798='Стан БГ'!H60),Main!$A$6:$A$798,0),T61)&gt;0,MAX(IF((Main!$D$6:$D$798="НСМУ")*(Main!$B$6:$B$798='Стан БГ'!C61)*(Main!$C$6:$C$798='Стан БГ'!H60),Main!$A$6:$A$798,0),T61),"")</f>
        <v/>
      </c>
      <c r="S61" s="163">
        <f>IF($D60=1,S$8,IF($D60=2,S$9,S$10))</f>
        <v>46</v>
      </c>
      <c r="T61" s="129" t="str">
        <f t="array" ref="T61">IF(MAX(IF((Main!$D$6:$D$798="НВМП")*(Main!$B$6:$B$798='Стан БГ'!C61)*(Main!$C$6:$C$798='Стан БГ'!H60),Main!$A$6:$A$798,0))&gt;0,MAX(IF((Main!$D$6:$D$798="НВМП")*(Main!$B$6:$B$798='Стан БГ'!C61)*(Main!$C$6:$C$798='Стан БГ'!H60),Main!$A$6:$A$798,0)),"")</f>
        <v/>
      </c>
      <c r="U61" s="141">
        <f>IF($D60=1,U$8,IF($D60=2,U$9,IF($D60=3,U$10)))</f>
        <v>365</v>
      </c>
      <c r="V61" s="132">
        <v>45675.0</v>
      </c>
      <c r="W61" s="133">
        <f>IF($D60=1,W$8,IF($D60=2,W$9,IF($D60=3,W$10)))</f>
        <v>365</v>
      </c>
      <c r="X61" s="134">
        <v>45675.0</v>
      </c>
      <c r="Y61" s="135">
        <f>IF($D60=1,Y$8,IF($D60=2,Y$9,IF($D60=3,Y$10)))</f>
        <v>365</v>
      </c>
      <c r="Z61" s="134">
        <v>45675.0</v>
      </c>
      <c r="AA61" s="135">
        <f>IF($D60=1,AA$8,IF($D60=2,AA$9,IF($D60=3,AA$10)))</f>
        <v>365</v>
      </c>
      <c r="AB61" s="134">
        <v>45675.0</v>
      </c>
      <c r="AC61" s="135">
        <f>IF($D60=1,AC$8,IF($D60=2,AC$9,IF($D60=3,AC$10)))</f>
        <v>365</v>
      </c>
      <c r="AD61" s="134">
        <v>45675.0</v>
      </c>
      <c r="AE61" s="135">
        <f>IF($D60=1,AE$8,IF($D60=2,AE$9,IF($D60=3,AE$10)))</f>
        <v>365</v>
      </c>
      <c r="AF61" s="134">
        <v>45675.0</v>
      </c>
      <c r="AG61" s="135">
        <f>IF($D60=1,AG$8,IF($D60=2,AG$9,IF($D60=3,AG$10)))</f>
        <v>365</v>
      </c>
      <c r="AH61" s="134">
        <v>45819.0</v>
      </c>
      <c r="AI61" s="135">
        <f>IF($D60=1,AI$8,IF($D60=2,AI$9,IF($D60=3,AI$10)))</f>
        <v>365</v>
      </c>
      <c r="AJ61" s="134">
        <v>45875.0</v>
      </c>
      <c r="AK61" s="135">
        <f>IF($D60=1,AK$8,IF($D60=2,AK$9,IF($D60=3,AK$10)))</f>
        <v>365</v>
      </c>
      <c r="AL61" s="178"/>
      <c r="AM61" s="141">
        <f>IF($D60=1,AM$8,IF($D60=2,AM$9,IF($D60=3,AM$10)))</f>
        <v>365</v>
      </c>
      <c r="AN61" s="134">
        <v>45653.0</v>
      </c>
      <c r="AO61" s="131">
        <f>IF($D60=1,AO$8,IF($D60=2,AO$9,IF($D60=3,AO$10)))</f>
        <v>184</v>
      </c>
      <c r="AP61" s="126">
        <v>45918.0</v>
      </c>
      <c r="AQ61" s="135">
        <f>IF($D60=1,AQ$8,IF($D60=2,AQ$9,IF($D60=3,AQ$10)))</f>
        <v>365</v>
      </c>
      <c r="AR61" s="126">
        <v>45918.0</v>
      </c>
      <c r="AS61" s="131">
        <f>IF($D60=1,AS$8,IF($D60=2,AS$9,IF($D60=3,AS$10)))</f>
        <v>365</v>
      </c>
      <c r="AT61" s="248">
        <v>45905.0</v>
      </c>
      <c r="AU61" s="135">
        <f>IF($D60=1,AU$8,IF($D60=2,AU$9,IF($D60=3,AU$10)))</f>
        <v>1095</v>
      </c>
      <c r="AV61" s="178">
        <v>45752.0</v>
      </c>
      <c r="AW61" s="179">
        <f>IF($D60=1,AW$8,IF($D60=2,AW$9,IF($D60=3,AW$10)))</f>
        <v>365</v>
      </c>
      <c r="AX61" s="134">
        <f t="array" ref="AX61">IF(MAX(IF((ISNUMBER(SEARCH("Складний пілотаж",Main!$M$6:$M$798)))*(Main!$B$6:$B$798='Стан БГ'!C61),Main!$A$6:$A$798,0))&gt;0,MAX(IF((ISNUMBER(SEARCH("Складний пілотаж",Main!$M$6:$M$798)))*(Main!$B$6:$B$798='Стан БГ'!C61),Main!$A$6:$A$798,0)),"19.07.2025")</f>
        <v>45920</v>
      </c>
      <c r="AY61" s="135">
        <f>IF($D60=1,AY$8,IF($D60=2,AY$9,IF($D60=3,AY$10)))</f>
        <v>365</v>
      </c>
      <c r="AZ61" s="134">
        <f t="array" ref="AZ61">IF(MAX(IF((ISNUMBER(SEARCH("Мала висота",Main!$M$6:$M$798)))*(Main!$B$6:$B$798='Стан БГ'!C61),Main!$A$6:$A$798,0))&gt;0,MAX(IF((ISNUMBER(SEARCH("Мала висота",Main!$M$6:$M$798)))*(Main!$B$6:$B$798='Стан БГ'!C61),Main!$A$6:$A$798,0)),"09.06.2025")</f>
        <v>45920</v>
      </c>
      <c r="BA61" s="135">
        <f>IF($D60=1,BA$8,IF($D60=2,BA$9,IF($D60=3,BA$10)))</f>
        <v>122</v>
      </c>
      <c r="BB61" s="134">
        <f t="array" ref="BB61">IF(MAX(IF((ISNUMBER(SEARCH("Гр. мала висота (ОНБ)",Main!$M$6:$M$798)))*(Main!$B$6:$B$798='Стан БГ'!C61),Main!$A$6:$A$798,0))&gt;0,MAX(IF((ISNUMBER(SEARCH("Гр. мала висота (ОНБ)",Main!$M$6:$M$798)))*(Main!$B$6:$B$798='Стан БГ'!C61),Main!$A$6:$A$798,0)),"18.01.2025")</f>
        <v>45920</v>
      </c>
      <c r="BC61" s="135">
        <f>IF($D60=1,BC$8,IF($D60=2,BC$9,IF($D60=3,BC$10)))</f>
        <v>184</v>
      </c>
      <c r="BD61" s="134" t="str">
        <f t="array" ref="BD61">IF(MAX(IF((ISNUMBER(SEARCH("Бойове застосування",Main!$M$6:$M$798)))*(Main!$B$6:$B$798='Стан БГ'!C61),Main!$A$6:$A$798,0))&gt;0,MAX(IF((ISNUMBER(SEARCH("Бойове застосування",Main!$M$6:$M$798)))*(Main!$B$6:$B$798='Стан БГ'!C61),Main!$A$6:$A$798,0)),"11.06.2025")</f>
        <v>11.06.2025</v>
      </c>
      <c r="BE61" s="135">
        <f>IF($D60=1,BE$8,IF($D60=2,BE$9,IF($D60=3,BE$10)))</f>
        <v>184</v>
      </c>
      <c r="BF61" s="134">
        <f t="array" ref="BF61">IF(MAX(IF((ISNUMBER(SEARCH("Групова злітаність",Main!$M$6:$M$798)))*(Main!$B$6:$B$798='Стан БГ'!C61),Main!$A$6:$A$798,0))&gt;0,MAX(IF((ISNUMBER(SEARCH("Групова злітаність",Main!$M$6:$M$798)))*(Main!$B$6:$B$798='Стан БГ'!C61),Main!$A$6:$A$798,0)),"18.01.2025")</f>
        <v>45920</v>
      </c>
      <c r="BG61" s="135">
        <f>IF($D60=1,BG$8,IF($D60=2,BG$9,IF($D60=3,BG$10)))</f>
        <v>365</v>
      </c>
      <c r="BH61" s="176" t="str">
        <f t="array" ref="BH61">IF(MAX(IF((ISNUMBER(SEARCH("На десантування",Main!$M$6:$M$798)))*(Main!$B$6:$B$798='Стан БГ'!C61),Main!$A$6:$A$798,0))&gt;0,MAX(IF((ISNUMBER(SEARCH("На десантування",Main!$M$6:$M$798)))*(Main!$B$6:$B$798='Стан БГ'!C61),Main!$A$6:$A$798,0)),"")</f>
        <v/>
      </c>
      <c r="BI61" s="143">
        <f>IF($D60=1,BI$8,IF($D60=2,BI$9,IF($D60=3,BI$10)))</f>
        <v>184</v>
      </c>
      <c r="BJ61" s="142"/>
      <c r="BK61" s="22"/>
    </row>
    <row r="62" ht="4.5" hidden="1" customHeight="1">
      <c r="A62" s="23"/>
      <c r="B62" s="24"/>
      <c r="C62" s="24"/>
      <c r="D62" s="24"/>
      <c r="E62" s="123"/>
      <c r="F62" s="26"/>
      <c r="G62" s="24"/>
      <c r="H62" s="144"/>
      <c r="I62" s="145">
        <f>IF(AND(J60=1,OR($G60="вп",$G60="вд",$G60="шп",$G60="оа")),1,0)</f>
        <v>0</v>
      </c>
      <c r="J62" s="146" t="str">
        <f>IF(J61="",0,IF($C$2&lt;(I61+J61)-15,2,IF($C$2&lt;(I61+J61),1,"0")))</f>
        <v>0</v>
      </c>
      <c r="K62" s="147"/>
      <c r="L62" s="148" t="str">
        <f>IF(L61="",0,IF($C$2&lt;(K61+L61)-15,2,IF($C$2&lt;(K61+L61),1,"0")))</f>
        <v>0</v>
      </c>
      <c r="M62" s="147"/>
      <c r="N62" s="146">
        <f>IF(N61="",0,IF($C$2&lt;(M61+N61)-15,2,IF($C$2&lt;(M61+N61),1,"0")))</f>
        <v>0</v>
      </c>
      <c r="O62" s="149"/>
      <c r="P62" s="146">
        <f>IF(P61="",0,IF($C$2&lt;(O61+P61)-15,2,IF($C$2&lt;(O61+P61),1,"0")))</f>
        <v>0</v>
      </c>
      <c r="Q62" s="149"/>
      <c r="R62" s="172">
        <f>IF(R61="",0,IF($C$2&lt;(Q61+R61)-15,2,IF($C$2&lt;(Q61+R61),1,"0")))</f>
        <v>0</v>
      </c>
      <c r="S62" s="262"/>
      <c r="T62" s="171">
        <f>IF(T61="",0,IF($C$2&lt;(S61+T61)-15,2,IF($C$2&lt;(S61+T61),1,"0")))</f>
        <v>0</v>
      </c>
      <c r="U62" s="154"/>
      <c r="V62" s="151"/>
      <c r="W62" s="152"/>
      <c r="X62" s="26"/>
      <c r="Y62" s="153"/>
      <c r="Z62" s="26"/>
      <c r="AA62" s="153"/>
      <c r="AB62" s="26"/>
      <c r="AC62" s="153"/>
      <c r="AD62" s="26"/>
      <c r="AE62" s="153"/>
      <c r="AF62" s="26"/>
      <c r="AG62" s="153"/>
      <c r="AH62" s="26"/>
      <c r="AI62" s="153"/>
      <c r="AJ62" s="26"/>
      <c r="AK62" s="153"/>
      <c r="AL62" s="33"/>
      <c r="AM62" s="154"/>
      <c r="AN62" s="26"/>
      <c r="AO62" s="150"/>
      <c r="AP62" s="146">
        <f>IF(AP61 = "",0,IF($C$2&lt;(AO61+AP61)-15,2,IF($C$2&lt;(AO61+AP61),1,"0")))</f>
        <v>2</v>
      </c>
      <c r="AQ62" s="150"/>
      <c r="AR62" s="146">
        <f>IF(AR61 = "",0,IF($C$2&lt;(AQ61+AR61)-15,2,IF($C$2&lt;(AQ61+AR61),1,"0")))</f>
        <v>2</v>
      </c>
      <c r="AS62" s="150"/>
      <c r="AT62" s="26"/>
      <c r="AU62" s="153"/>
      <c r="AV62" s="33"/>
      <c r="AW62" s="181"/>
      <c r="AX62" s="26"/>
      <c r="AY62" s="153"/>
      <c r="AZ62" s="26"/>
      <c r="BA62" s="153"/>
      <c r="BB62" s="26"/>
      <c r="BC62" s="153"/>
      <c r="BD62" s="26"/>
      <c r="BE62" s="153"/>
      <c r="BF62" s="26"/>
      <c r="BG62" s="153"/>
      <c r="BI62" s="155"/>
      <c r="BK62" s="22"/>
    </row>
    <row r="63" ht="1.5" hidden="1" customHeight="1">
      <c r="A63" s="23"/>
      <c r="B63" s="24"/>
      <c r="C63" s="24"/>
      <c r="D63" s="24"/>
      <c r="E63" s="123"/>
      <c r="F63" s="26"/>
      <c r="G63" s="24"/>
      <c r="H63" s="156" t="s">
        <v>78</v>
      </c>
      <c r="I63" s="110">
        <v>1.0</v>
      </c>
      <c r="J63" s="115">
        <f>IF(OR(J65=1,J65=2),1,0)</f>
        <v>0</v>
      </c>
      <c r="K63" s="110">
        <v>1.0</v>
      </c>
      <c r="L63" s="157">
        <f>IF(OR(L65=1,L65=2),1,0)</f>
        <v>0</v>
      </c>
      <c r="M63" s="110">
        <v>1.0</v>
      </c>
      <c r="N63" s="117">
        <f>IF(OR(N65=1,N65=2),1,0)</f>
        <v>0</v>
      </c>
      <c r="O63" s="110">
        <v>1.0</v>
      </c>
      <c r="P63" s="115">
        <f>IF(OR(P65=1,P65=2),1,0)</f>
        <v>0</v>
      </c>
      <c r="Q63" s="110">
        <v>1.0</v>
      </c>
      <c r="R63" s="117">
        <f>IF(OR(R65=1,R65=2),1,0)</f>
        <v>0</v>
      </c>
      <c r="S63" s="264">
        <v>1.0</v>
      </c>
      <c r="T63" s="119">
        <f>IF(OR(T65=1,T65=2),1,0)</f>
        <v>0</v>
      </c>
      <c r="U63" s="120"/>
      <c r="V63" s="151"/>
      <c r="W63" s="116"/>
      <c r="X63" s="26"/>
      <c r="Y63" s="159"/>
      <c r="Z63" s="26"/>
      <c r="AA63" s="159"/>
      <c r="AB63" s="26"/>
      <c r="AC63" s="159"/>
      <c r="AD63" s="26"/>
      <c r="AE63" s="159"/>
      <c r="AF63" s="26"/>
      <c r="AG63" s="159"/>
      <c r="AH63" s="26"/>
      <c r="AI63" s="159"/>
      <c r="AJ63" s="26"/>
      <c r="AK63" s="159"/>
      <c r="AL63" s="33"/>
      <c r="AM63" s="120"/>
      <c r="AN63" s="26"/>
      <c r="AO63" s="114"/>
      <c r="AP63" s="115"/>
      <c r="AQ63" s="114"/>
      <c r="AR63" s="115"/>
      <c r="AS63" s="114"/>
      <c r="AT63" s="26"/>
      <c r="AU63" s="159"/>
      <c r="AV63" s="33"/>
      <c r="AW63" s="183"/>
      <c r="AX63" s="26"/>
      <c r="AY63" s="159"/>
      <c r="AZ63" s="26"/>
      <c r="BA63" s="159"/>
      <c r="BB63" s="26"/>
      <c r="BC63" s="159"/>
      <c r="BD63" s="26"/>
      <c r="BE63" s="159"/>
      <c r="BF63" s="26"/>
      <c r="BG63" s="159"/>
      <c r="BI63" s="121"/>
      <c r="BK63" s="22"/>
    </row>
    <row r="64" ht="15.75" hidden="1" customHeight="1">
      <c r="A64" s="23"/>
      <c r="B64" s="24"/>
      <c r="C64" s="24"/>
      <c r="D64" s="24"/>
      <c r="E64" s="123"/>
      <c r="F64" s="26"/>
      <c r="G64" s="24"/>
      <c r="H64" s="124"/>
      <c r="I64" s="125">
        <f>I61</f>
        <v>92</v>
      </c>
      <c r="J64" s="162">
        <f t="array" ref="J64">IF(MAX(IF((Main!$D$6:$D$798="ДПМУ")*(Main!$B$6:$B$798='Стан БГ'!C61)*(Main!$C$6:$C$798='Стан БГ'!H63),Main!$A$6:$A$798,0),L64,N64,P64,R64,T64)&gt;0,MAX(IF((Main!$D$6:$D$798="ДПМУ")*(Main!$B$6:$B$798='Стан БГ'!C61)*(Main!$C$6:$C$798='Стан БГ'!H63),Main!$A$6:$A$798,0),L64,N64,P64,R64,T64),"")</f>
        <v>45920</v>
      </c>
      <c r="K64" s="161">
        <f>K61</f>
        <v>77</v>
      </c>
      <c r="L64" s="162">
        <f t="array" ref="L64">IF(MAX(IF((Main!$D$6:$D$798="ДСМУ")*(Main!$B$6:$B$798='Стан БГ'!C61)*(Main!$C$6:$C$798='Стан БГ'!H63),Main!$A$6:$A$798,0),N64,R64,T64)&gt;0,MAX(IF((Main!$D$6:$D$798="ДСМУ")*(Main!$B$6:$B$798='Стан БГ'!C61)*(Main!$C$6:$C$798='Стан БГ'!H63),Main!$A$6:$A$798,0),N64,R64,T64),"")</f>
        <v>45920</v>
      </c>
      <c r="M64" s="161">
        <f>M61</f>
        <v>61</v>
      </c>
      <c r="N64" s="162">
        <f t="array" ref="N64">IF(MAX(IF((Main!$D$6:$D$798="ДВМП")*(Main!$B$6:$B$798='Стан БГ'!C61)*(Main!$C$6:$C$798='Стан БГ'!H63),Main!$A$6:$A$798,0),T64)&gt;0,MAX(IF((Main!$D$6:$D$798="ДВМП")*(Main!$B$6:$B$798='Стан БГ'!C61)*(Main!$C$6:$C$798='Стан БГ'!H63),Main!$A$6:$A$798,0),T64),"")</f>
        <v>45857</v>
      </c>
      <c r="O64" s="163">
        <f>O61</f>
        <v>77</v>
      </c>
      <c r="P64" s="128">
        <f t="array" ref="P64">MAX(IF((Main!$D$6:$D$798="НПМУ")*(Main!$B$6:$B$798='Стан БГ'!C61)*(Main!$C$6:$C$798='Стан БГ'!H63),Main!$A$6:$A$798,0),R64,T64,Date(2025,3,7))</f>
        <v>45723</v>
      </c>
      <c r="Q64" s="161">
        <f>Q61</f>
        <v>61</v>
      </c>
      <c r="R64" s="162">
        <f t="array" ref="R64">MAX(IF((Main!$D$6:$D$798="НСМУ")*(Main!$B$6:$B$798='Стан БГ'!C61)*(Main!$C$6:$C$798='Стан БГ'!H63),Main!$A$6:$A$798,0),T64,Date(2025,3,7))</f>
        <v>45723</v>
      </c>
      <c r="S64" s="163">
        <f>S61</f>
        <v>46</v>
      </c>
      <c r="T64" s="129" t="str">
        <f t="array" ref="T64">IF(MAX(IF((Main!$D$6:$D$798="НВМП")*(Main!$B$6:$B$798='Стан БГ'!C61)*(Main!$C$6:$C$798='Стан БГ'!H63),Main!$A$6:$A$798,0))&gt;0,MAX(IF((Main!$D$6:$D$798="НВМП")*(Main!$B$6:$B$798='Стан БГ'!C61)*(Main!$C$6:$C$798='Стан БГ'!H63),Main!$A$6:$A$798,0)),"")</f>
        <v/>
      </c>
      <c r="U64" s="141">
        <f>U61</f>
        <v>365</v>
      </c>
      <c r="V64" s="151"/>
      <c r="W64" s="133">
        <f>IF($D60=1,W$8,IF($D60=2,W$9,IF($D60=3,W$10)))</f>
        <v>365</v>
      </c>
      <c r="X64" s="26"/>
      <c r="Y64" s="135">
        <f>IF($D60=1,Y$8,IF($D60=2,Y$9,IF($D60=3,Y$10)))</f>
        <v>365</v>
      </c>
      <c r="Z64" s="26"/>
      <c r="AA64" s="135">
        <f>IF($D60=1,AA$8,IF($D60=2,AA$9,IF($D60=3,AA$10)))</f>
        <v>365</v>
      </c>
      <c r="AB64" s="26"/>
      <c r="AC64" s="135">
        <f>IF($D60=1,AC$8,IF($D60=2,AC$9,IF($D60=3,AC$10)))</f>
        <v>365</v>
      </c>
      <c r="AD64" s="26"/>
      <c r="AE64" s="135">
        <f>AE61</f>
        <v>365</v>
      </c>
      <c r="AF64" s="26"/>
      <c r="AG64" s="135">
        <f>AG61</f>
        <v>365</v>
      </c>
      <c r="AH64" s="26"/>
      <c r="AI64" s="135">
        <f>AI61</f>
        <v>365</v>
      </c>
      <c r="AJ64" s="26"/>
      <c r="AK64" s="135">
        <f>AK61</f>
        <v>365</v>
      </c>
      <c r="AL64" s="33"/>
      <c r="AM64" s="141">
        <f>AM61</f>
        <v>365</v>
      </c>
      <c r="AN64" s="26"/>
      <c r="AO64" s="131" t="b">
        <f>IF($D63=1,AO$8,IF($D63=2,AO$9,IF($D63=3,AO$10)))</f>
        <v>0</v>
      </c>
      <c r="AP64" s="126">
        <v>45918.0</v>
      </c>
      <c r="AQ64" s="135" t="b">
        <f>IF($D63=1,AQ$8,IF($D63=2,AQ$9,IF($D63=3,AQ$10)))</f>
        <v>0</v>
      </c>
      <c r="AR64" s="128">
        <v>45742.0</v>
      </c>
      <c r="AS64" s="131" t="b">
        <f>IF($D63=1,AS$8,IF($D63=2,AS$9,IF($D63=3,AS$10)))</f>
        <v>0</v>
      </c>
      <c r="AT64" s="26"/>
      <c r="AU64" s="135" t="b">
        <f>IF($D63=1,AU$8,IF($D63=2,AU$9,IF($D63=3,AU$10)))</f>
        <v>0</v>
      </c>
      <c r="AV64" s="33"/>
      <c r="AW64" s="266">
        <f>IF($D60=1,AW$8,IF($D60=2,AW$9,IF($D60=3,AW$10)))</f>
        <v>365</v>
      </c>
      <c r="AX64" s="68"/>
      <c r="AY64" s="267">
        <f>IF($D60=1,AY$8,IF($D60=2,AY$9,IF($D60=3,AY$10)))</f>
        <v>365</v>
      </c>
      <c r="AZ64" s="68"/>
      <c r="BA64" s="267">
        <f>IF($D60=1,BA$8,IF($D60=2,BA$9,IF($D60=3,BA$10)))</f>
        <v>122</v>
      </c>
      <c r="BB64" s="68"/>
      <c r="BC64" s="267">
        <f>IF($D60=1,BC$8,IF($D60=2,BC$9,IF($D60=3,BC$10)))</f>
        <v>184</v>
      </c>
      <c r="BD64" s="68"/>
      <c r="BE64" s="267">
        <f>BE61</f>
        <v>184</v>
      </c>
      <c r="BF64" s="68"/>
      <c r="BG64" s="267">
        <f>BG61</f>
        <v>365</v>
      </c>
      <c r="BH64" s="45"/>
      <c r="BI64" s="268">
        <f>BI61</f>
        <v>184</v>
      </c>
      <c r="BJ64" s="45"/>
      <c r="BK64" s="22"/>
    </row>
    <row r="65" ht="4.5" hidden="1" customHeight="1">
      <c r="A65" s="165"/>
      <c r="B65" s="166"/>
      <c r="C65" s="167"/>
      <c r="D65" s="166"/>
      <c r="E65" s="168"/>
      <c r="F65" s="65"/>
      <c r="G65" s="60"/>
      <c r="H65" s="169"/>
      <c r="I65" s="145">
        <f>IF(AND(J60=1,OR($G60="вп",$G60="вд",$G60="шп",$G60="оа")),1,0)</f>
        <v>0</v>
      </c>
      <c r="J65" s="146" t="str">
        <f>IF(J64="",0,IF($C$2&lt;(I64+J64)-15,2,IF($C$2&lt;(I64+J64),1,"0")))</f>
        <v>0</v>
      </c>
      <c r="K65" s="147"/>
      <c r="L65" s="148" t="str">
        <f>IF(L64="",0,IF($C$2&lt;(K64+L64)-15,2,IF($C$2&lt;(K64+L64),1,"0")))</f>
        <v>0</v>
      </c>
      <c r="M65" s="147"/>
      <c r="N65" s="146" t="str">
        <f>IF(N64="",0,IF($C$2&lt;(M64+N64)-15,2,IF($C$2&lt;(M64+N64),1,"0")))</f>
        <v>0</v>
      </c>
      <c r="O65" s="149"/>
      <c r="P65" s="146" t="str">
        <f>IF(P64="",0,IF($C$2&lt;(O64+P64)-15,2,IF($C$2&lt;(O64+P64),1,"0")))</f>
        <v>0</v>
      </c>
      <c r="Q65" s="149"/>
      <c r="R65" s="172" t="str">
        <f>IF(R64="",0,IF($C$2&lt;(Q64+R64)-15,2,IF($C$2&lt;(Q64+R64),1,"0")))</f>
        <v>0</v>
      </c>
      <c r="S65" s="262"/>
      <c r="T65" s="171">
        <f>IF(T64="",0,IF($C$2&lt;(S64+T64)-15,2,IF($C$2&lt;(S64+T64),1,"0")))</f>
        <v>0</v>
      </c>
      <c r="U65" s="147"/>
      <c r="V65" s="146" t="str">
        <f>IF(V61 = "",0,IF($C$2&lt;(U61+V61)-15,2,IF($C$2&lt;(U61+V61),1,"0")))</f>
        <v>0</v>
      </c>
      <c r="W65" s="152"/>
      <c r="X65" s="146" t="str">
        <f>IF(X61 = "",0,IF($C$2&lt;(W61+X61)-15,2,IF($C$2&lt;(W61+X61),1,"0")))</f>
        <v>0</v>
      </c>
      <c r="Y65" s="147"/>
      <c r="Z65" s="146" t="str">
        <f>IF(Z61 = "",0,IF($C$2&lt;(Y61+Z61)-15,2,IF($C$2&lt;(Y61+Z61),1,"0")))</f>
        <v>0</v>
      </c>
      <c r="AA65" s="147"/>
      <c r="AB65" s="146" t="str">
        <f>IF(AB61 = "",0,IF($C$2&lt;(AA61+AB61)-15,2,IF($C$2&lt;(AA61+AB61),1,"0")))</f>
        <v>0</v>
      </c>
      <c r="AC65" s="147"/>
      <c r="AD65" s="146" t="str">
        <f>IF(AD61 = "",0,IF($C$2&lt;(AC61+AD61)-15,2,IF($C$2&lt;(AC61+AD61),1,"0")))</f>
        <v>0</v>
      </c>
      <c r="AE65" s="147"/>
      <c r="AF65" s="146" t="str">
        <f>IF(AF61 = "",0,IF($C$2&lt;(AE61+AF61)-15,2,IF($C$2&lt;(AE61+AF61),1,"0")))</f>
        <v>0</v>
      </c>
      <c r="AG65" s="147"/>
      <c r="AH65" s="146">
        <f>IF(AH61 = "",0,IF($C$2&lt;(AG61+AH61)-15,2,IF($C$2&lt;(AG61+AH61),1,"0")))</f>
        <v>2</v>
      </c>
      <c r="AI65" s="147"/>
      <c r="AJ65" s="146">
        <f>IF(AJ61 = "",0,IF($C$2&lt;(AI61+AJ61)-15,2,IF($C$2&lt;(AI61+AJ61),1,"0")))</f>
        <v>2</v>
      </c>
      <c r="AK65" s="147"/>
      <c r="AL65" s="171">
        <f>IF(AL61 = "",0,IF($C$2&lt;(AK61+AL61)-15,2,IF($C$2&lt;(AK61+AL61),1,"0")))</f>
        <v>0</v>
      </c>
      <c r="AM65" s="147"/>
      <c r="AN65" s="146" t="str">
        <f>IF(AN61 = "",0,IF($C$2&lt;(AM61+AN61)-15,2,IF($C$2&lt;(AM61+AN61),1,"0")))</f>
        <v>0</v>
      </c>
      <c r="AO65" s="150"/>
      <c r="AP65" s="146">
        <f>IF(AP64 = "",0,IF($C$2&lt;(AO61+AP64)-15,2,IF($C$2&lt;(AO61+AP64),1,"0")))</f>
        <v>2</v>
      </c>
      <c r="AQ65" s="150"/>
      <c r="AR65" s="146">
        <f>IF(AR64 = "",0,IF($C$2&lt;(AQ61+AR64)-15,2,IF($C$2&lt;(AQ61+AR64),1,"0")))</f>
        <v>2</v>
      </c>
      <c r="AS65" s="150"/>
      <c r="AT65" s="146">
        <f>IF(AT61 = "",0,IF($C$2&lt;(AS61+AT61)-15,2,IF($C$2&lt;(AS61+AT61),1,"0")))</f>
        <v>2</v>
      </c>
      <c r="AU65" s="150"/>
      <c r="AV65" s="171">
        <f>IF(AV61 = "",0,IF($C$2&lt;(AU61+AV61)-15,2,IF($C$2&lt;(AU61+AV61),1,"0")))</f>
        <v>2</v>
      </c>
      <c r="AW65" s="154"/>
      <c r="AX65" s="146">
        <f>IF(AX61 = "",0,IF($C$2&lt;(AW61+AX61)-15,2,IF($C$2&lt;(AW61+AX61),1,"0")))</f>
        <v>2</v>
      </c>
      <c r="AY65" s="147"/>
      <c r="AZ65" s="146">
        <f>IF(AZ61 = "",0,IF($C$2&lt;(AY61+AZ61)-15,2,IF($C$2&lt;(AY61+AZ61),1,"0")))</f>
        <v>2</v>
      </c>
      <c r="BA65" s="147"/>
      <c r="BB65" s="146" t="str">
        <f>IF(BB61 = "",0,IF($C$2&lt;(BA61+BB61)-15,2,IF($C$2&lt;(BA61+BB61),1,"0")))</f>
        <v>0</v>
      </c>
      <c r="BC65" s="147"/>
      <c r="BD65" s="146" t="str">
        <f>IF(BD61 = "",0,IF($C$2&lt;(BC61+BD61)-15,2,IF($C$2&lt;(BC61+BD61),1,"0")))</f>
        <v>0</v>
      </c>
      <c r="BE65" s="147"/>
      <c r="BF65" s="146">
        <f>IF(BF61 = "",0,IF($C$2&lt;(BE61+BF61)-15,2,IF($C$2&lt;(BE61+BF61),1,"0")))</f>
        <v>2</v>
      </c>
      <c r="BG65" s="147"/>
      <c r="BH65" s="172">
        <f>IF(BH61 = "",0,IF($C$2&lt;(BG61+BH61)-15,2,IF($C$2&lt;(BG61+BH61),1,"0")))</f>
        <v>0</v>
      </c>
      <c r="BI65" s="173"/>
      <c r="BJ65" s="172">
        <f>IF(BJ61 = "",0,IF($C$2&lt;(BI61+BJ61)-15,2,IF($C$2&lt;(BI61+BJ61),1,"0")))</f>
        <v>0</v>
      </c>
      <c r="BK65" s="22"/>
    </row>
    <row r="66" ht="1.5" customHeight="1">
      <c r="A66" s="269">
        <v>4.0</v>
      </c>
      <c r="B66" s="270" t="s">
        <v>79</v>
      </c>
      <c r="C66" s="174"/>
      <c r="D66" s="106">
        <v>2.0</v>
      </c>
      <c r="E66" s="107">
        <v>1.0</v>
      </c>
      <c r="F66" s="184">
        <f>IF(E66=1,1.5,1)</f>
        <v>1.5</v>
      </c>
      <c r="G66" s="108"/>
      <c r="H66" s="109" t="s">
        <v>55</v>
      </c>
      <c r="I66" s="110">
        <v>1.0</v>
      </c>
      <c r="J66" s="111">
        <f>IF(OR(J68=1,J68=2),1,0)</f>
        <v>1</v>
      </c>
      <c r="K66" s="110">
        <v>1.0</v>
      </c>
      <c r="L66" s="175">
        <f>IF(OR(L68=1,L68=2),1,0)</f>
        <v>1</v>
      </c>
      <c r="M66" s="110">
        <v>1.0</v>
      </c>
      <c r="N66" s="112">
        <f>IF(OR(N68=1,N68=2),1,0)</f>
        <v>0</v>
      </c>
      <c r="O66" s="110">
        <v>1.0</v>
      </c>
      <c r="P66" s="111">
        <f>IF(OR(P68=1,P68=2),1,0)</f>
        <v>0</v>
      </c>
      <c r="Q66" s="110">
        <v>1.0</v>
      </c>
      <c r="R66" s="112">
        <f>IF(OR(R68=1,R68=2),1,0)</f>
        <v>0</v>
      </c>
      <c r="S66" s="264">
        <v>1.0</v>
      </c>
      <c r="T66" s="246">
        <f>IF(OR(T68=1,T68=2),1,0)</f>
        <v>0</v>
      </c>
      <c r="U66" s="120"/>
      <c r="V66" s="115"/>
      <c r="W66" s="116"/>
      <c r="X66" s="115"/>
      <c r="Y66" s="114"/>
      <c r="Z66" s="115"/>
      <c r="AA66" s="114"/>
      <c r="AB66" s="115"/>
      <c r="AC66" s="114"/>
      <c r="AD66" s="115"/>
      <c r="AE66" s="114"/>
      <c r="AF66" s="115"/>
      <c r="AG66" s="114"/>
      <c r="AH66" s="115"/>
      <c r="AI66" s="114"/>
      <c r="AJ66" s="115"/>
      <c r="AK66" s="114"/>
      <c r="AL66" s="119"/>
      <c r="AM66" s="120"/>
      <c r="AN66" s="115"/>
      <c r="AO66" s="114"/>
      <c r="AP66" s="115"/>
      <c r="AQ66" s="114"/>
      <c r="AR66" s="115"/>
      <c r="AS66" s="114"/>
      <c r="AT66" s="115"/>
      <c r="AU66" s="114"/>
      <c r="AV66" s="119"/>
      <c r="AW66" s="120"/>
      <c r="AX66" s="115"/>
      <c r="AY66" s="114"/>
      <c r="AZ66" s="115"/>
      <c r="BA66" s="114"/>
      <c r="BB66" s="115"/>
      <c r="BC66" s="114"/>
      <c r="BD66" s="115"/>
      <c r="BE66" s="114"/>
      <c r="BF66" s="115"/>
      <c r="BG66" s="114"/>
      <c r="BH66" s="117"/>
      <c r="BI66" s="121"/>
      <c r="BJ66" s="117"/>
      <c r="BK66" s="22"/>
    </row>
    <row r="67" ht="15.0" customHeight="1">
      <c r="A67" s="23"/>
      <c r="B67" s="24"/>
      <c r="C67" s="122" t="s">
        <v>80</v>
      </c>
      <c r="D67" s="24"/>
      <c r="E67" s="123"/>
      <c r="F67" s="26"/>
      <c r="G67" s="24"/>
      <c r="H67" s="124"/>
      <c r="I67" s="125">
        <f>IF($D66=1,I$8,IF($D66=2,I$9,I$10))</f>
        <v>92</v>
      </c>
      <c r="J67" s="128">
        <f t="array" ref="J67">IF(MAX(IF((Main!$D$6:$D$798="ДПМУ")*(Main!$B$6:$B$798='Стан БГ'!C67)*(Main!$C$6:$C$798='Стан БГ'!H66),Main!$A$6:$A$798,0),L67,N67,P67,R67,T67,DATE(2025,4,14))&gt;0,MAX(IF((Main!$D$6:$D$798="ДПМУ")*(Main!$B$6:$B$798='Стан БГ'!C67)*(Main!$C$6:$C$798='Стан БГ'!H66),Main!$A$6:$A$798,0),L67,N67,P67,R67,T67,DATE(2025,4,14)),"14.04.2025")</f>
        <v>46043</v>
      </c>
      <c r="K67" s="127">
        <f>IF($D66=1,K$8,IF($D66=2,K$9,K$10))</f>
        <v>77</v>
      </c>
      <c r="L67" s="128">
        <f t="array" ref="L67">IF(MAX(IF((Main!$D$6:$D$798="ДСМУ")*(Main!$B$6:$B$798='Стан БГ'!C67)*(Main!$C$6:$C$798='Стан БГ'!H66),Main!$A$6:$A$798,0),N67,R67,T67,DATE(2025,4,14))&gt;0,MAX(IF((Main!$D$6:$D$798="ДСМУ")*(Main!$B$6:$B$798='Стан БГ'!C67)*(Main!$C$6:$C$798='Стан БГ'!H66),Main!$A$6:$A$798,0),N67,R67,T67,DATE(2025,4,14)),"")</f>
        <v>46036</v>
      </c>
      <c r="M67" s="127">
        <f>IF($D66=1,M$8,IF($D66=2,M$9,M$10))</f>
        <v>61</v>
      </c>
      <c r="N67" s="128">
        <f t="array" ref="N67">MAX(IF((Main!$D$6:$D$798="ДВМП")*(Main!$B$6:$B$798='Стан БГ'!C67)*(Main!$C$6:$C$798='Стан БГ'!H66),Main!$A$6:$A$798,0),T67,DATE(2018,5,11))</f>
        <v>43231</v>
      </c>
      <c r="O67" s="127">
        <f>IF($D66=1,O$8,IF($D66=2,O$9,O$10))</f>
        <v>77</v>
      </c>
      <c r="P67" s="128">
        <f t="array" ref="P67">MAX(IF((Main!$D$6:$D$798="НПМУ")*(Main!$B$6:$B$798='Стан БГ'!C67)*(Main!$C$6:$C$798='Стан БГ'!H66),Main!$A$6:$A$798,0),T67,R67,DATE(2018,5,11))</f>
        <v>43231</v>
      </c>
      <c r="Q67" s="127">
        <f>IF($D66=1,Q$8,IF($D66=2,Q$9,Q$10))</f>
        <v>61</v>
      </c>
      <c r="R67" s="162">
        <f t="array" ref="R67">MAX(IF((Main!$D$6:$D$798="НСМУ")*(Main!$B$6:$B$798='Стан БГ'!C67)*(Main!$C$6:$C$798='Стан БГ'!H66),Main!$A$6:$A$798,0),T67,DATE(2018,5,11))</f>
        <v>43231</v>
      </c>
      <c r="S67" s="163">
        <f>IF($D66=1,S$8,IF($D66=2,S$9,S$10))</f>
        <v>46</v>
      </c>
      <c r="T67" s="129" t="str">
        <f t="array" ref="T67">IF(MAX(IF((Main!$D$6:$D$798="НВМП")*(Main!$B$6:$B$798='Стан БГ'!C67)*(Main!$C$6:$C$798='Стан БГ'!H66),Main!$A$6:$A$798,0))&gt;0,MAX(IF((Main!$D$6:$D$798="НВМП")*(Main!$B$6:$B$798='Стан БГ'!C67)*(Main!$C$6:$C$798='Стан БГ'!H66),Main!$A$6:$A$798,0)),"")</f>
        <v/>
      </c>
      <c r="U67" s="141">
        <f>IF($D66=1,U$8,IF($D66=2,U$9,IF($D66=3,U$10)))</f>
        <v>365</v>
      </c>
      <c r="V67" s="132"/>
      <c r="W67" s="133">
        <f>IF($D66=1,W$8,IF($D66=2,W$9,IF($D66=3,W$10)))</f>
        <v>365</v>
      </c>
      <c r="X67" s="134">
        <v>45761.0</v>
      </c>
      <c r="Y67" s="135">
        <f>IF($D66=1,Y$8,IF($D66=2,Y$9,IF($D66=3,Y$10)))</f>
        <v>365</v>
      </c>
      <c r="Z67" s="134">
        <v>45761.0</v>
      </c>
      <c r="AA67" s="135">
        <f>IF($D66=1,AA$8,IF($D66=2,AA$9,IF($D66=3,AA$10)))</f>
        <v>365</v>
      </c>
      <c r="AB67" s="134">
        <v>45754.0</v>
      </c>
      <c r="AC67" s="135">
        <f>IF($D66=1,AC$8,IF($D66=2,AC$9,IF($D66=3,AC$10)))</f>
        <v>365</v>
      </c>
      <c r="AD67" s="134">
        <v>45756.0</v>
      </c>
      <c r="AE67" s="135">
        <f>IF($D66=1,AE$8,IF($D66=2,AE$9,IF($D66=3,AE$10)))</f>
        <v>365</v>
      </c>
      <c r="AF67" s="134">
        <v>45761.0</v>
      </c>
      <c r="AG67" s="135">
        <f>IF($D66=1,AG$8,IF($D66=2,AG$9,IF($D66=3,AG$10)))</f>
        <v>365</v>
      </c>
      <c r="AH67" s="134">
        <v>45756.0</v>
      </c>
      <c r="AI67" s="135">
        <f>IF($D66=1,AI$8,IF($D66=2,AI$9,IF($D66=3,AI$10)))</f>
        <v>365</v>
      </c>
      <c r="AJ67" s="134">
        <v>45754.0</v>
      </c>
      <c r="AK67" s="135">
        <f>IF($D66=1,AK$8,IF($D66=2,AK$9,IF($D66=3,AK$10)))</f>
        <v>365</v>
      </c>
      <c r="AL67" s="178"/>
      <c r="AM67" s="141">
        <f>IF($D66=1,AM$8,IF($D66=2,AM$9,IF($D66=3,AM$10)))</f>
        <v>365</v>
      </c>
      <c r="AN67" s="248">
        <v>46007.0</v>
      </c>
      <c r="AO67" s="131">
        <f>IF($D66=1,AO$8,IF($D66=2,AO$9,IF($D66=3,AO$10)))</f>
        <v>184</v>
      </c>
      <c r="AP67" s="126">
        <v>45936.0</v>
      </c>
      <c r="AQ67" s="135">
        <f>IF($D66=1,AQ$8,IF($D66=2,AQ$9,IF($D66=3,AQ$10)))</f>
        <v>365</v>
      </c>
      <c r="AR67" s="126">
        <v>45771.0</v>
      </c>
      <c r="AS67" s="131">
        <f>IF($D66=1,AS$8,IF($D66=2,AS$9,IF($D66=3,AS$10)))</f>
        <v>365</v>
      </c>
      <c r="AT67" s="248">
        <v>45884.0</v>
      </c>
      <c r="AU67" s="135">
        <f>IF($D66=1,AU$8,IF($D66=2,AU$9,IF($D66=3,AU$10)))</f>
        <v>1095</v>
      </c>
      <c r="AV67" s="178" t="s">
        <v>65</v>
      </c>
      <c r="AW67" s="179">
        <f>IF($D66=1,AW$8,IF($D66=2,AW$9,IF($D66=3,AW$10)))</f>
        <v>365</v>
      </c>
      <c r="AX67" s="134">
        <f t="array" ref="AX67">IF(MAX(IF((ISNUMBER(SEARCH("Складний пілотаж",Main!$M$6:$M$798)))*(Main!$B$6:$B$798='Стан БГ'!C67),Main!$A$6:$A$798,0))&gt;0,MAX(IF((ISNUMBER(SEARCH("Складний пілотаж",Main!$M$6:$M$798)))*(Main!$B$6:$B$798='Стан БГ'!C67),Main!$A$6:$A$798,0)),"08.07.2025")</f>
        <v>46043</v>
      </c>
      <c r="AY67" s="135">
        <f>IF($D66=1,AY$8,IF($D66=2,AY$9,IF($D66=3,AY$10)))</f>
        <v>365</v>
      </c>
      <c r="AZ67" s="134">
        <f t="array" ref="AZ67">IF(MAX(IF((ISNUMBER(SEARCH("Мала висота",Main!$M$6:$M$798)))*(Main!$B$6:$B$798='Стан БГ'!C67),Main!$A$6:$A$798,0))&gt;0,MAX(IF((ISNUMBER(SEARCH("Мала висота",Main!$M$6:$M$798)))*(Main!$B$6:$B$798='Стан БГ'!C67),Main!$A$6:$A$798,0)),"04.04.2025")</f>
        <v>45959</v>
      </c>
      <c r="BA67" s="135">
        <f>IF($D66=1,BA$8,IF($D66=2,BA$9,IF($D66=3,BA$10)))</f>
        <v>122</v>
      </c>
      <c r="BB67" s="134" t="str">
        <f t="array" ref="BB67">IF(MAX(IF((ISNUMBER(SEARCH("Гр. мала висота (ОНБ)",Main!$M$6:$M$798)))*(Main!$B$6:$B$798='Стан БГ'!C67),Main!$A$6:$A$798,0))&gt;0,MAX(IF((ISNUMBER(SEARCH("Гр. мала висота (ОНБ)",Main!$M$6:$M$798)))*(Main!$B$6:$B$798='Стан БГ'!C67),Main!$A$6:$A$798,0)),"08.07.2025")</f>
        <v>08.07.2025</v>
      </c>
      <c r="BC67" s="135">
        <f>IF($D66=1,BC$8,IF($D66=2,BC$9,IF($D66=3,BC$10)))</f>
        <v>184</v>
      </c>
      <c r="BD67" s="134" t="str">
        <f t="array" ref="BD67">IF(MAX(IF((ISNUMBER(SEARCH("Бойове застосування",Main!$M$6:$M$798)))*(Main!$B$6:$B$798='Стан БГ'!C67),Main!$A$6:$A$798,0))&gt;0,MAX(IF((ISNUMBER(SEARCH("Бойове застосування",Main!$M$6:$M$798)))*(Main!$B$6:$B$798='Стан БГ'!C67),Main!$A$6:$A$798,0)),"09.04.2025")</f>
        <v>09.04.2025</v>
      </c>
      <c r="BE67" s="135">
        <f>IF($D66=1,BE$8,IF($D66=2,BE$9,IF($D66=3,BE$10)))</f>
        <v>184</v>
      </c>
      <c r="BF67" s="134" t="str">
        <f t="array" ref="BF67">IF(MAX(IF((ISNUMBER(SEARCH("Групова злітаність",Main!$M$6:$M$798)))*(Main!$B$6:$B$798='Стан БГ'!C67),Main!$A$6:$A$798,0))&gt;0,MAX(IF((ISNUMBER(SEARCH("Групова злітаність",Main!$M$6:$M$798)))*(Main!$B$6:$B$798='Стан БГ'!C67),Main!$A$6:$A$798,0)),"08.07.2025")</f>
        <v>08.07.2025</v>
      </c>
      <c r="BG67" s="135">
        <f>IF($D66=1,BG$8,IF($D66=2,BG$9,IF($D66=3,BG$10)))</f>
        <v>365</v>
      </c>
      <c r="BH67" s="176" t="str">
        <f t="array" ref="BH67">IF(MAX(IF((ISNUMBER(SEARCH("На десантування",Main!$M$6:$M$798)))*(Main!$B$6:$B$798='Стан БГ'!C67),Main!$A$6:$A$798,0))&gt;0,MAX(IF((ISNUMBER(SEARCH("На десантування",Main!$M$6:$M$798)))*(Main!$B$6:$B$798='Стан БГ'!C67),Main!$A$6:$A$798,0)),"")</f>
        <v/>
      </c>
      <c r="BI67" s="143">
        <f>IF($D66=1,BI$8,IF($D66=2,BI$9,IF($D66=3,BI$10)))</f>
        <v>184</v>
      </c>
      <c r="BJ67" s="142"/>
      <c r="BK67" s="22"/>
    </row>
    <row r="68" ht="4.5" customHeight="1">
      <c r="A68" s="23"/>
      <c r="B68" s="24"/>
      <c r="C68" s="24"/>
      <c r="D68" s="24"/>
      <c r="E68" s="123"/>
      <c r="F68" s="26"/>
      <c r="G68" s="24"/>
      <c r="H68" s="144"/>
      <c r="I68" s="145">
        <f>IF(AND(J66=1,OR($G66="вп",$G66="вд",$G66="шп",$G66="оа")),1,0)</f>
        <v>0</v>
      </c>
      <c r="J68" s="146">
        <f>IF(J67="",0,IF($C$2&lt;(I67+J67)-15,2,IF($C$2&lt;(I67+J67),1,"0")))</f>
        <v>2</v>
      </c>
      <c r="K68" s="147"/>
      <c r="L68" s="148">
        <f>IF(L67="",0,IF($C$2&lt;(K67+L67)-15,2,IF($C$2&lt;(K67+L67),1,"0")))</f>
        <v>2</v>
      </c>
      <c r="M68" s="147"/>
      <c r="N68" s="146" t="str">
        <f>IF(N67="",0,IF($C$2&lt;(M67+N67)-15,2,IF($C$2&lt;(M67+N67),1,"0")))</f>
        <v>0</v>
      </c>
      <c r="O68" s="149"/>
      <c r="P68" s="146" t="str">
        <f>IF(P67="",0,IF($C$2&lt;(O67+P67)-15,2,IF($C$2&lt;(O67+P67),1,"0")))</f>
        <v>0</v>
      </c>
      <c r="Q68" s="149"/>
      <c r="R68" s="172" t="str">
        <f>IF(R67="",0,IF($C$2&lt;(Q67+R67)-15,2,IF($C$2&lt;(Q67+R67),1,"0")))</f>
        <v>0</v>
      </c>
      <c r="S68" s="262"/>
      <c r="T68" s="171">
        <f>IF(T67="",0,IF($C$2&lt;(S67+T67)-15,2,IF($C$2&lt;(S67+T67),1,"0")))</f>
        <v>0</v>
      </c>
      <c r="U68" s="154"/>
      <c r="V68" s="151"/>
      <c r="W68" s="152"/>
      <c r="X68" s="26"/>
      <c r="Y68" s="153"/>
      <c r="Z68" s="26"/>
      <c r="AA68" s="153"/>
      <c r="AB68" s="26"/>
      <c r="AC68" s="153"/>
      <c r="AD68" s="26"/>
      <c r="AE68" s="153"/>
      <c r="AF68" s="26"/>
      <c r="AG68" s="153"/>
      <c r="AH68" s="26"/>
      <c r="AI68" s="153"/>
      <c r="AJ68" s="26"/>
      <c r="AK68" s="153"/>
      <c r="AL68" s="33"/>
      <c r="AM68" s="154"/>
      <c r="AN68" s="26"/>
      <c r="AO68" s="150"/>
      <c r="AP68" s="146">
        <f>IF(AP67 = "",0,IF($C$2&lt;(AO67+AP67)-15,2,IF($C$2&lt;(AO67+AP67),1,"0")))</f>
        <v>2</v>
      </c>
      <c r="AQ68" s="150"/>
      <c r="AR68" s="146">
        <f>IF(AR67 = "",0,IF($C$2&lt;(AQ67+AR67)-15,2,IF($C$2&lt;(AQ67+AR67),1,"0")))</f>
        <v>2</v>
      </c>
      <c r="AS68" s="150"/>
      <c r="AT68" s="26"/>
      <c r="AU68" s="153"/>
      <c r="AV68" s="33"/>
      <c r="AW68" s="181"/>
      <c r="AX68" s="26"/>
      <c r="AY68" s="153"/>
      <c r="AZ68" s="26"/>
      <c r="BA68" s="153"/>
      <c r="BB68" s="26"/>
      <c r="BC68" s="153"/>
      <c r="BD68" s="26"/>
      <c r="BE68" s="153"/>
      <c r="BF68" s="26"/>
      <c r="BG68" s="153"/>
      <c r="BI68" s="155"/>
      <c r="BK68" s="22"/>
    </row>
    <row r="69" ht="1.5" customHeight="1">
      <c r="A69" s="23"/>
      <c r="B69" s="24"/>
      <c r="C69" s="24"/>
      <c r="D69" s="24"/>
      <c r="E69" s="123"/>
      <c r="F69" s="26"/>
      <c r="G69" s="24"/>
      <c r="H69" s="156" t="s">
        <v>78</v>
      </c>
      <c r="I69" s="110">
        <v>1.0</v>
      </c>
      <c r="J69" s="115">
        <f>IF(OR(J71=1,J71=2),1,0)</f>
        <v>0</v>
      </c>
      <c r="K69" s="110">
        <v>1.0</v>
      </c>
      <c r="L69" s="157">
        <f>IF(OR(L71=1,L71=2),1,0)</f>
        <v>0</v>
      </c>
      <c r="M69" s="110">
        <v>1.0</v>
      </c>
      <c r="N69" s="117">
        <f>IF(OR(N71=1,N71=2),1,0)</f>
        <v>0</v>
      </c>
      <c r="O69" s="110">
        <v>1.0</v>
      </c>
      <c r="P69" s="115">
        <f>IF(OR(P71=1,P71=2),1,0)</f>
        <v>0</v>
      </c>
      <c r="Q69" s="110">
        <v>1.0</v>
      </c>
      <c r="R69" s="117">
        <f>IF(OR(R71=1,R71=2),1,0)</f>
        <v>0</v>
      </c>
      <c r="S69" s="264">
        <v>1.0</v>
      </c>
      <c r="T69" s="119">
        <f>IF(OR(T71=1,T71=2),1,0)</f>
        <v>0</v>
      </c>
      <c r="U69" s="120"/>
      <c r="V69" s="151"/>
      <c r="W69" s="116"/>
      <c r="X69" s="26"/>
      <c r="Y69" s="159"/>
      <c r="Z69" s="26"/>
      <c r="AA69" s="159"/>
      <c r="AB69" s="26"/>
      <c r="AC69" s="159"/>
      <c r="AD69" s="26"/>
      <c r="AE69" s="159"/>
      <c r="AF69" s="26"/>
      <c r="AG69" s="159"/>
      <c r="AH69" s="26"/>
      <c r="AI69" s="159"/>
      <c r="AJ69" s="26"/>
      <c r="AK69" s="159"/>
      <c r="AL69" s="33"/>
      <c r="AM69" s="120"/>
      <c r="AN69" s="26"/>
      <c r="AO69" s="114"/>
      <c r="AP69" s="115"/>
      <c r="AQ69" s="114"/>
      <c r="AR69" s="115"/>
      <c r="AS69" s="114"/>
      <c r="AT69" s="26"/>
      <c r="AU69" s="159"/>
      <c r="AV69" s="33"/>
      <c r="AW69" s="183"/>
      <c r="AX69" s="26"/>
      <c r="AY69" s="159"/>
      <c r="AZ69" s="26"/>
      <c r="BA69" s="159"/>
      <c r="BB69" s="26"/>
      <c r="BC69" s="159"/>
      <c r="BD69" s="26"/>
      <c r="BE69" s="159"/>
      <c r="BF69" s="26"/>
      <c r="BG69" s="159"/>
      <c r="BI69" s="121"/>
      <c r="BK69" s="22"/>
    </row>
    <row r="70" ht="15.75" customHeight="1">
      <c r="A70" s="23"/>
      <c r="B70" s="24"/>
      <c r="C70" s="24"/>
      <c r="D70" s="24"/>
      <c r="E70" s="123"/>
      <c r="F70" s="26"/>
      <c r="G70" s="24"/>
      <c r="H70" s="124"/>
      <c r="I70" s="125">
        <f>I67</f>
        <v>92</v>
      </c>
      <c r="J70" s="162">
        <f t="array" ref="J70">IF(MAX(IF((Main!$D$6:$D$798="ДПМУ")*(Main!$B$6:$B$798='Стан БГ'!C67)*(Main!$C$6:$C$798='Стан БГ'!H69),Main!$A$6:$A$798,0),L70,N70,P70,R70,T70)&gt;0,MAX(IF((Main!$D$6:$D$798="ДПМУ")*(Main!$B$6:$B$798='Стан БГ'!C67)*(Main!$C$6:$C$798='Стан БГ'!H69),Main!$A$6:$A$798,0),L70,N70,P70,R70,T70),"")</f>
        <v>45959</v>
      </c>
      <c r="K70" s="161">
        <f>K67</f>
        <v>77</v>
      </c>
      <c r="L70" s="162">
        <f t="array" ref="L70">MAX(IF((Main!$D$6:$D$798="ДСМУ")*(Main!$B$6:$B$798='Стан БГ'!C67)*(Main!$C$6:$C$798='Стан БГ'!H69),Main!$A$6:$A$798,0),N70,R70,T70,DATE(2025,6,17))</f>
        <v>45959</v>
      </c>
      <c r="M70" s="161">
        <f>M67</f>
        <v>61</v>
      </c>
      <c r="N70" s="128">
        <f t="array" ref="N70">MAX(IF((Main!$D$6:$D$798="ДВМП")*(Main!$B$6:$B$798='Стан БГ'!C67)*(Main!$C$6:$C$798='Стан БГ'!H69),Main!$A$6:$A$798,0),T70,DATE(2024,6,27))</f>
        <v>45470</v>
      </c>
      <c r="O70" s="163">
        <f>O67</f>
        <v>77</v>
      </c>
      <c r="P70" s="128">
        <f t="array" ref="P70">MAX(IF((Main!$D$6:$D$798="НПМУ")*(Main!$B$6:$B$798='Стан БГ'!C67)*(Main!$C$6:$C$798='Стан БГ'!H69),Main!$A$6:$A$798,0),T70,R70,DATE(2024,6,27))</f>
        <v>45470</v>
      </c>
      <c r="Q70" s="161">
        <f>Q67</f>
        <v>61</v>
      </c>
      <c r="R70" s="162">
        <f t="array" ref="R70">MAX(IF((Main!$D$6:$D$798="НСМУ")*(Main!$B$6:$B$798='Стан БГ'!C67)*(Main!$C$6:$C$798='Стан БГ'!H69),Main!$A$6:$A$798,0),T70,DATE(2024,6,27))</f>
        <v>45470</v>
      </c>
      <c r="S70" s="163">
        <f>S67</f>
        <v>46</v>
      </c>
      <c r="T70" s="129">
        <f t="array" ref="T70">MAX(IF((Main!$D$6:$D$798="НВМП")*(Main!$B$6:$B$798='Стан БГ'!C67)*(Main!$C$6:$C$798='Стан БГ'!H69),Main!$A$6:$A$798,0),DATE(2024,6,27))</f>
        <v>45470</v>
      </c>
      <c r="U70" s="141">
        <f>U67</f>
        <v>365</v>
      </c>
      <c r="V70" s="151"/>
      <c r="W70" s="133">
        <f>IF($D66=1,W$8,IF($D66=2,W$9,IF($D66=3,W$10)))</f>
        <v>365</v>
      </c>
      <c r="X70" s="26"/>
      <c r="Y70" s="135">
        <f>IF($D66=1,Y$8,IF($D66=2,Y$9,IF($D66=3,Y$10)))</f>
        <v>365</v>
      </c>
      <c r="Z70" s="26"/>
      <c r="AA70" s="135">
        <f>IF($D66=1,AA$8,IF($D66=2,AA$9,IF($D66=3,AA$10)))</f>
        <v>365</v>
      </c>
      <c r="AB70" s="26"/>
      <c r="AC70" s="135">
        <f>IF($D66=1,AC$8,IF($D66=2,AC$9,IF($D66=3,AC$10)))</f>
        <v>365</v>
      </c>
      <c r="AD70" s="26"/>
      <c r="AE70" s="135">
        <f>AE67</f>
        <v>365</v>
      </c>
      <c r="AF70" s="26"/>
      <c r="AG70" s="135">
        <f>AG67</f>
        <v>365</v>
      </c>
      <c r="AH70" s="26"/>
      <c r="AI70" s="135">
        <f>AI67</f>
        <v>365</v>
      </c>
      <c r="AJ70" s="26"/>
      <c r="AK70" s="135">
        <f>AK67</f>
        <v>365</v>
      </c>
      <c r="AL70" s="33"/>
      <c r="AM70" s="141">
        <f>AM67</f>
        <v>365</v>
      </c>
      <c r="AN70" s="26"/>
      <c r="AO70" s="131" t="b">
        <f>IF($D69=1,AO$8,IF($D69=2,AO$9,IF($D69=3,AO$10)))</f>
        <v>0</v>
      </c>
      <c r="AP70" s="126">
        <v>45936.0</v>
      </c>
      <c r="AQ70" s="135" t="b">
        <f>IF($D69=1,AQ$8,IF($D69=2,AQ$9,IF($D69=3,AQ$10)))</f>
        <v>0</v>
      </c>
      <c r="AR70" s="126">
        <v>45952.0</v>
      </c>
      <c r="AS70" s="131" t="b">
        <f>IF($D69=1,AS$8,IF($D69=2,AS$9,IF($D69=3,AS$10)))</f>
        <v>0</v>
      </c>
      <c r="AT70" s="26"/>
      <c r="AU70" s="135" t="b">
        <f>IF($D69=1,AU$8,IF($D69=2,AU$9,IF($D69=3,AU$10)))</f>
        <v>0</v>
      </c>
      <c r="AV70" s="33"/>
      <c r="AW70" s="179">
        <f>IF($D66=1,AW$8,IF($D66=2,AW$9,IF($D66=3,AW$10)))</f>
        <v>365</v>
      </c>
      <c r="AX70" s="26"/>
      <c r="AY70" s="135">
        <f>IF($D66=1,AY$8,IF($D66=2,AY$9,IF($D66=3,AY$10)))</f>
        <v>365</v>
      </c>
      <c r="AZ70" s="26"/>
      <c r="BA70" s="135">
        <f>IF($D66=1,BA$8,IF($D66=2,BA$9,IF($D66=3,BA$10)))</f>
        <v>122</v>
      </c>
      <c r="BB70" s="26"/>
      <c r="BC70" s="135">
        <f>IF($D66=1,BC$8,IF($D66=2,BC$9,IF($D66=3,BC$10)))</f>
        <v>184</v>
      </c>
      <c r="BD70" s="26"/>
      <c r="BE70" s="135">
        <f>BE67</f>
        <v>184</v>
      </c>
      <c r="BF70" s="26"/>
      <c r="BG70" s="135">
        <f>BG67</f>
        <v>365</v>
      </c>
      <c r="BI70" s="143">
        <f>BI67</f>
        <v>184</v>
      </c>
      <c r="BK70" s="22"/>
    </row>
    <row r="71" ht="4.5" customHeight="1">
      <c r="A71" s="165"/>
      <c r="B71" s="166"/>
      <c r="C71" s="167"/>
      <c r="D71" s="166"/>
      <c r="E71" s="168"/>
      <c r="F71" s="65"/>
      <c r="G71" s="166"/>
      <c r="H71" s="169"/>
      <c r="I71" s="145">
        <f>IF(AND(J66=1,OR($G66="вп",$G66="вд",$G66="шп",$G66="оа")),1,0)</f>
        <v>0</v>
      </c>
      <c r="J71" s="146" t="str">
        <f>IF(J70="",0,IF($C$2&lt;(I70+J70)-15,2,IF($C$2&lt;(I70+J70),1,"0")))</f>
        <v>0</v>
      </c>
      <c r="K71" s="147"/>
      <c r="L71" s="148" t="str">
        <f>IF(L70="",0,IF($C$2&lt;(K70+L70)-15,2,IF($C$2&lt;(K70+L70),1,"0")))</f>
        <v>0</v>
      </c>
      <c r="M71" s="147"/>
      <c r="N71" s="146" t="str">
        <f>IF(N70="",0,IF($C$2&lt;(M70+N70)-15,2,IF($C$2&lt;(M70+N70),1,"0")))</f>
        <v>0</v>
      </c>
      <c r="O71" s="149"/>
      <c r="P71" s="146" t="str">
        <f>IF(P70="",0,IF($C$2&lt;(O70+P70)-15,2,IF($C$2&lt;(O70+P70),1,"0")))</f>
        <v>0</v>
      </c>
      <c r="Q71" s="149"/>
      <c r="R71" s="172" t="str">
        <f>IF(R70="",0,IF($C$2&lt;(Q70+R70)-15,2,IF($C$2&lt;(Q70+R70),1,"0")))</f>
        <v>0</v>
      </c>
      <c r="S71" s="262"/>
      <c r="T71" s="171" t="str">
        <f>IF(T70="",0,IF($C$2&lt;(S70+T70)-15,2,IF($C$2&lt;(S70+T70),1,"0")))</f>
        <v>0</v>
      </c>
      <c r="U71" s="147"/>
      <c r="V71" s="146">
        <f>IF(V67 = "",0,IF($C$2&lt;(U67+V67)-15,2,IF($C$2&lt;(U67+V67),1,"0")))</f>
        <v>0</v>
      </c>
      <c r="W71" s="152"/>
      <c r="X71" s="146">
        <f>IF(X67 = "",0,IF($C$2&lt;(W67+X67)-15,2,IF($C$2&lt;(W67+X67),1,"0")))</f>
        <v>2</v>
      </c>
      <c r="Y71" s="147"/>
      <c r="Z71" s="146">
        <f>IF(Z67 = "",0,IF($C$2&lt;(Y67+Z67)-15,2,IF($C$2&lt;(Y67+Z67),1,"0")))</f>
        <v>2</v>
      </c>
      <c r="AA71" s="147"/>
      <c r="AB71" s="146">
        <f>IF(AB67 = "",0,IF($C$2&lt;(AA67+AB67)-15,2,IF($C$2&lt;(AA67+AB67),1,"0")))</f>
        <v>2</v>
      </c>
      <c r="AC71" s="147"/>
      <c r="AD71" s="146">
        <f>IF(AD67 = "",0,IF($C$2&lt;(AC67+AD67)-15,2,IF($C$2&lt;(AC67+AD67),1,"0")))</f>
        <v>2</v>
      </c>
      <c r="AE71" s="147"/>
      <c r="AF71" s="146">
        <f>IF(AF67 = "",0,IF($C$2&lt;(AE67+AF67)-15,2,IF($C$2&lt;(AE67+AF67),1,"0")))</f>
        <v>2</v>
      </c>
      <c r="AG71" s="147"/>
      <c r="AH71" s="146">
        <f>IF(AH67 = "",0,IF($C$2&lt;(AG67+AH67)-15,2,IF($C$2&lt;(AG67+AH67),1,"0")))</f>
        <v>2</v>
      </c>
      <c r="AI71" s="147"/>
      <c r="AJ71" s="146">
        <f>IF(AJ67 = "",0,IF($C$2&lt;(AI67+AJ67)-15,2,IF($C$2&lt;(AI67+AJ67),1,"0")))</f>
        <v>2</v>
      </c>
      <c r="AK71" s="147"/>
      <c r="AL71" s="171">
        <f>IF(AL67 = "",0,IF($C$2&lt;(AK67+AL67)-15,2,IF($C$2&lt;(AK67+AL67),1,"0")))</f>
        <v>0</v>
      </c>
      <c r="AM71" s="147"/>
      <c r="AN71" s="146">
        <f>IF(AN67 = "",0,IF($C$2&lt;(AM67+AN67)-15,2,IF($C$2&lt;(AM67+AN67),1,"0")))</f>
        <v>2</v>
      </c>
      <c r="AO71" s="150"/>
      <c r="AP71" s="146">
        <f>IF(AP70 = "",0,IF($C$2&lt;(AO67+AP70)-15,2,IF($C$2&lt;(AO67+AP70),1,"0")))</f>
        <v>2</v>
      </c>
      <c r="AQ71" s="150"/>
      <c r="AR71" s="146">
        <f>IF(AR70 = "",0,IF($C$2&lt;(AQ67+AR70)-15,2,IF($C$2&lt;(AQ67+AR70),1,"0")))</f>
        <v>2</v>
      </c>
      <c r="AS71" s="150"/>
      <c r="AT71" s="146">
        <f>IF(AT67 = "",0,IF($C$2&lt;(AS67+AT67)-15,2,IF($C$2&lt;(AS67+AT67),1,"0")))</f>
        <v>2</v>
      </c>
      <c r="AU71" s="150"/>
      <c r="AV71" s="171" t="str">
        <f>IF(AV67 = "",0,IF($C$2&lt;(AU67+AV67)-15,2,IF($C$2&lt;(AU67+AV67),1,"0")))</f>
        <v>#VALUE!</v>
      </c>
      <c r="AW71" s="154"/>
      <c r="AX71" s="146">
        <f>IF(AX67 = "",0,IF($C$2&lt;(AW67+AX67)-15,2,IF($C$2&lt;(AW67+AX67),1,"0")))</f>
        <v>2</v>
      </c>
      <c r="AY71" s="147"/>
      <c r="AZ71" s="146">
        <f>IF(AZ67 = "",0,IF($C$2&lt;(AY67+AZ67)-15,2,IF($C$2&lt;(AY67+AZ67),1,"0")))</f>
        <v>2</v>
      </c>
      <c r="BA71" s="147"/>
      <c r="BB71" s="146" t="str">
        <f>IF(BB67 = "",0,IF($C$2&lt;(BA67+BB67)-15,2,IF($C$2&lt;(BA67+BB67),1,"0")))</f>
        <v>0</v>
      </c>
      <c r="BC71" s="147"/>
      <c r="BD71" s="146" t="str">
        <f>IF(BD67 = "",0,IF($C$2&lt;(BC67+BD67)-15,2,IF($C$2&lt;(BC67+BD67),1,"0")))</f>
        <v>0</v>
      </c>
      <c r="BE71" s="147"/>
      <c r="BF71" s="146" t="str">
        <f>IF(BF67 = "",0,IF($C$2&lt;(BE67+BF67)-15,2,IF($C$2&lt;(BE67+BF67),1,"0")))</f>
        <v>0</v>
      </c>
      <c r="BG71" s="147"/>
      <c r="BH71" s="172">
        <f>IF(BH67 = "",0,IF($C$2&lt;(BG67+BH67)-15,2,IF($C$2&lt;(BG67+BH67),1,"0")))</f>
        <v>0</v>
      </c>
      <c r="BI71" s="173"/>
      <c r="BJ71" s="172">
        <f>IF(BJ67 = "",0,IF($C$2&lt;(BI67+BJ67)-15,2,IF($C$2&lt;(BI67+BJ67),1,"0")))</f>
        <v>0</v>
      </c>
      <c r="BK71" s="22"/>
    </row>
    <row r="72" ht="1.5" customHeight="1">
      <c r="A72" s="269">
        <v>5.0</v>
      </c>
      <c r="B72" s="104" t="s">
        <v>81</v>
      </c>
      <c r="C72" s="174"/>
      <c r="D72" s="106">
        <v>1.0</v>
      </c>
      <c r="E72" s="107">
        <v>1.0</v>
      </c>
      <c r="F72" s="184">
        <f>IF(E72=1,1.5,1)</f>
        <v>1.5</v>
      </c>
      <c r="G72" s="220" t="s">
        <v>82</v>
      </c>
      <c r="H72" s="255" t="s">
        <v>70</v>
      </c>
      <c r="I72" s="110">
        <v>1.0</v>
      </c>
      <c r="J72" s="111">
        <f>IF(OR(J74=1,J74=2),1,0)</f>
        <v>1</v>
      </c>
      <c r="K72" s="110">
        <v>1.0</v>
      </c>
      <c r="L72" s="175">
        <f>IF(OR(L74=1,L74=2),1,0)</f>
        <v>0</v>
      </c>
      <c r="M72" s="110">
        <v>1.0</v>
      </c>
      <c r="N72" s="112">
        <f>IF(OR(N74=1,N74=2),1,0)</f>
        <v>0</v>
      </c>
      <c r="O72" s="110">
        <v>1.0</v>
      </c>
      <c r="P72" s="111">
        <f>IF(OR(P74=1,P74=2),1,0)</f>
        <v>0</v>
      </c>
      <c r="Q72" s="110">
        <v>1.0</v>
      </c>
      <c r="R72" s="112">
        <f>IF(OR(R74=1,R74=2),1,0)</f>
        <v>0</v>
      </c>
      <c r="S72" s="264">
        <v>1.0</v>
      </c>
      <c r="T72" s="246">
        <f>IF(OR(T74=1,T74=2),1,0)</f>
        <v>0</v>
      </c>
      <c r="U72" s="120"/>
      <c r="V72" s="115"/>
      <c r="W72" s="116"/>
      <c r="X72" s="115"/>
      <c r="Y72" s="114"/>
      <c r="Z72" s="115"/>
      <c r="AA72" s="114"/>
      <c r="AB72" s="115"/>
      <c r="AC72" s="114"/>
      <c r="AD72" s="115"/>
      <c r="AE72" s="114"/>
      <c r="AF72" s="115"/>
      <c r="AG72" s="114"/>
      <c r="AH72" s="115"/>
      <c r="AI72" s="114"/>
      <c r="AJ72" s="115"/>
      <c r="AK72" s="114"/>
      <c r="AL72" s="119"/>
      <c r="AM72" s="120"/>
      <c r="AN72" s="115"/>
      <c r="AO72" s="114"/>
      <c r="AP72" s="115"/>
      <c r="AQ72" s="114"/>
      <c r="AR72" s="115"/>
      <c r="AS72" s="114"/>
      <c r="AT72" s="115"/>
      <c r="AU72" s="114"/>
      <c r="AV72" s="119"/>
      <c r="AW72" s="120"/>
      <c r="AX72" s="115"/>
      <c r="AY72" s="114"/>
      <c r="AZ72" s="115"/>
      <c r="BA72" s="114"/>
      <c r="BB72" s="115"/>
      <c r="BC72" s="114"/>
      <c r="BD72" s="115"/>
      <c r="BE72" s="114"/>
      <c r="BF72" s="115"/>
      <c r="BG72" s="114"/>
      <c r="BH72" s="117"/>
      <c r="BI72" s="121"/>
      <c r="BJ72" s="117"/>
      <c r="BK72" s="22"/>
    </row>
    <row r="73" ht="15.75" customHeight="1">
      <c r="A73" s="23"/>
      <c r="B73" s="24"/>
      <c r="C73" s="122" t="s">
        <v>83</v>
      </c>
      <c r="D73" s="24"/>
      <c r="E73" s="123"/>
      <c r="F73" s="26"/>
      <c r="G73" s="24"/>
      <c r="H73" s="124"/>
      <c r="I73" s="125">
        <f>IF($D72=1,I$8,IF($D72=2,I$9,I$10))</f>
        <v>107</v>
      </c>
      <c r="J73" s="129">
        <f t="array" ref="J73">MAX(IF((Main!$D$6:$D$798="ДПМУ")*(Main!$B$6:$B$798='Стан БГ'!C73)*(Main!$C$6:$C$798='Стан БГ'!H72),Main!$A$6:$A$798,0),L73,N73,P73,R73,T73,Date(2022,5,14))</f>
        <v>46033</v>
      </c>
      <c r="K73" s="127">
        <f>IF($D72=1,K$8,IF($D72=2,K$9,K$10))</f>
        <v>92</v>
      </c>
      <c r="L73" s="129">
        <f t="array" ref="L73">MAX(IF((Main!$D$6:$D$798="ДСМУ")*(Main!$B$6:$B$798='Стан БГ'!C73)*(Main!$C$6:$C$798='Стан БГ'!H72),Main!$A$6:$A$798,0),N73,R73,T73,Date(2025,7,9))</f>
        <v>45937</v>
      </c>
      <c r="M73" s="127">
        <f>IF($D72=1,M$8,IF($D72=2,M$9,M$10))</f>
        <v>77</v>
      </c>
      <c r="N73" s="129">
        <f t="array" ref="N73">MAX(IF((Main!$D$6:$D$798="ДВМП")*(Main!$B$6:$B$798='Стан БГ'!C73)*(Main!$C$6:$C$798='Стан БГ'!H72),Main!$A$6:$A$798,0),T73,Date(2025,7,9))</f>
        <v>45847</v>
      </c>
      <c r="O73" s="127">
        <f>IF($D72=1,O$8,IF($D72=2,O$9,O$10))</f>
        <v>92</v>
      </c>
      <c r="P73" s="129">
        <f t="array" ref="P73">MAX(IF((Main!$D$6:$D$798="НПМУ")*(Main!$B$6:$B$798='Стан БГ'!C73)*(Main!$C$6:$C$798='Стан БГ'!H72),Main!$A$6:$A$798,0),R73,T73,Date(2025,8,8))</f>
        <v>45877</v>
      </c>
      <c r="Q73" s="127">
        <f>IF($D72=1,Q$8,IF($D72=2,Q$9,Q$10))</f>
        <v>77</v>
      </c>
      <c r="R73" s="162" t="str">
        <f t="array" ref="R73">IF(MAX(IF((Main!$D$6:$D$798="НСМУ")*(Main!$B$6:$B$798='Стан БГ'!C73)*(Main!$C$6:$C$798='Стан БГ'!H72),Main!$A$6:$A$798,0),T73)&gt;0,MAX(IF((Main!$D$6:$D$798="НСМУ")*(Main!$B$6:$B$798='Стан БГ'!C73)*(Main!$C$6:$C$798='Стан БГ'!H72),Main!$A$6:$A$798,0),T73),"")</f>
        <v/>
      </c>
      <c r="S73" s="163">
        <f>IF($D72=1,S$8,IF($D72=2,S$9,S$10))</f>
        <v>61</v>
      </c>
      <c r="T73" s="129" t="str">
        <f t="array" ref="T73">IF(MAX(IF((Main!$D$6:$D$798="НВМП")*(Main!$B$6:$B$798='Стан БГ'!C73)*(Main!$C$6:$C$798='Стан БГ'!H72),Main!$A$6:$A$798,0))&gt;0,MAX(IF((Main!$D$6:$D$798="НВМП")*(Main!$B$6:$B$798='Стан БГ'!C73)*(Main!$C$6:$C$798='Стан БГ'!H72),Main!$A$6:$A$798,0)),"")</f>
        <v/>
      </c>
      <c r="U73" s="271">
        <f>IF($D72=1,U$8,IF($D72=2,U$9,IF($D72=3,U$10)))</f>
        <v>365</v>
      </c>
      <c r="V73" s="272"/>
      <c r="W73" s="273">
        <f>IF($D72=1,W$8,IF($D72=2,W$9,IF($D72=3,W$10)))</f>
        <v>365</v>
      </c>
      <c r="X73" s="248">
        <v>46033.0</v>
      </c>
      <c r="Y73" s="135">
        <f>IF($D72=1,Y$8,IF($D72=2,Y$9,IF($D72=3,Y$10)))</f>
        <v>365</v>
      </c>
      <c r="Z73" s="248">
        <v>46033.0</v>
      </c>
      <c r="AA73" s="135">
        <f>IF($D72=1,AA$8,IF($D72=2,AA$9,IF($D72=3,AA$10)))</f>
        <v>365</v>
      </c>
      <c r="AB73" s="248">
        <v>46033.0</v>
      </c>
      <c r="AC73" s="135">
        <f>IF($D72=1,AC$8,IF($D72=2,AC$9,IF($D72=3,AC$10)))</f>
        <v>365</v>
      </c>
      <c r="AD73" s="248">
        <v>46033.0</v>
      </c>
      <c r="AE73" s="135">
        <f>IF($D72=1,AE$8,IF($D72=2,AE$9,IF($D72=3,AE$10)))</f>
        <v>365</v>
      </c>
      <c r="AF73" s="134">
        <v>45664.0</v>
      </c>
      <c r="AG73" s="135">
        <f>IF($D72=1,AG$8,IF($D72=2,AG$9,IF($D72=3,AG$10)))</f>
        <v>365</v>
      </c>
      <c r="AH73" s="134">
        <v>45847.0</v>
      </c>
      <c r="AI73" s="135">
        <f>IF($D72=1,AI$8,IF($D72=2,AI$9,IF($D72=3,AI$10)))</f>
        <v>365</v>
      </c>
      <c r="AJ73" s="134">
        <v>45664.0</v>
      </c>
      <c r="AK73" s="135">
        <f>IF($D72=1,AK$8,IF($D72=2,AK$9,IF($D72=3,AK$10)))</f>
        <v>365</v>
      </c>
      <c r="AL73" s="178"/>
      <c r="AM73" s="141">
        <f>IF($D72=1,AM$8,IF($D72=2,AM$9,IF($D72=3,AM$10)))</f>
        <v>365</v>
      </c>
      <c r="AN73" s="134">
        <v>45649.0</v>
      </c>
      <c r="AO73" s="131">
        <f>IF($D72=1,AO$8,IF($D72=2,AO$9,IF($D72=3,AO$10)))</f>
        <v>184</v>
      </c>
      <c r="AP73" s="128">
        <v>45859.0</v>
      </c>
      <c r="AQ73" s="135">
        <f>IF($D72=1,AQ$8,IF($D72=2,AQ$9,IF($D72=3,AQ$10)))</f>
        <v>365</v>
      </c>
      <c r="AR73" s="128">
        <v>45855.0</v>
      </c>
      <c r="AS73" s="131">
        <f>IF($D72=1,AS$8,IF($D72=2,AS$9,IF($D72=3,AS$10)))</f>
        <v>365</v>
      </c>
      <c r="AT73" s="134">
        <v>45677.0</v>
      </c>
      <c r="AU73" s="135">
        <f>IF($D72=1,AU$8,IF($D72=2,AU$9,IF($D72=3,AU$10)))</f>
        <v>1095</v>
      </c>
      <c r="AV73" s="178">
        <v>44811.0</v>
      </c>
      <c r="AW73" s="179">
        <f>IF($D72=1,AW$8,IF($D72=2,AW$9,IF($D72=3,AW$10)))</f>
        <v>365</v>
      </c>
      <c r="AX73" s="134" t="str">
        <f t="array" ref="AX73">IF(MAX(IF((ISNUMBER(SEARCH("Складний пілотаж",Main!$M$6:$M$798)))*(Main!$B$6:$B$798='Стан БГ'!C73),Main!$A$6:$A$798,0))&gt;0,MAX(IF((ISNUMBER(SEARCH("Складний пілотаж",Main!$M$6:$M$798)))*(Main!$B$6:$B$798='Стан БГ'!C73),Main!$A$6:$A$798,0)),"23.04.2025")</f>
        <v>23.04.2025</v>
      </c>
      <c r="AY73" s="135">
        <f>IF($D72=1,AY$8,IF($D72=2,AY$9,IF($D72=3,AY$10)))</f>
        <v>365</v>
      </c>
      <c r="AZ73" s="134" t="str">
        <f t="array" ref="AZ73">IF(MAX(IF((ISNUMBER(SEARCH("Мала висота",Main!$M$6:$M$798)))*(Main!$B$6:$B$798='Стан БГ'!C73),Main!$A$6:$A$798,0))&gt;0,MAX(IF((ISNUMBER(SEARCH("Мала висота",Main!$M$6:$M$798)))*(Main!$B$6:$B$798='Стан БГ'!C73),Main!$A$6:$A$798,0)),"24.04.2025")</f>
        <v>24.04.2025</v>
      </c>
      <c r="BA73" s="135">
        <f>IF($D72=1,BA$8,IF($D72=2,BA$9,IF($D72=3,BA$10)))</f>
        <v>122</v>
      </c>
      <c r="BB73" s="134" t="str">
        <f t="array" ref="BB73">IF(MAX(IF((ISNUMBER(SEARCH("Гр. мала висота (ОНБ)",Main!$M$6:$M$798)))*(Main!$B$6:$B$798='Стан БГ'!C73),Main!$A$6:$A$798,0))&gt;0,MAX(IF((ISNUMBER(SEARCH("Гр. мала висота (ОНБ)",Main!$M$6:$M$798)))*(Main!$B$6:$B$798='Стан БГ'!C73),Main!$A$6:$A$798,0)),"27.06.2025")</f>
        <v>27.06.2025</v>
      </c>
      <c r="BC73" s="135">
        <f>IF($D72=1,BC$8,IF($D72=2,BC$9,IF($D72=3,BC$10)))</f>
        <v>184</v>
      </c>
      <c r="BD73" s="134" t="str">
        <f t="array" ref="BD73">IF(MAX(IF((ISNUMBER(SEARCH("Бойове застосування",Main!$M$6:$M$798)))*(Main!$B$6:$B$798='Стан БГ'!C73),Main!$A$6:$A$798,0))&gt;0,MAX(IF((ISNUMBER(SEARCH("Бойове застосування",Main!$M$6:$M$798)))*(Main!$B$6:$B$798='Стан БГ'!C73),Main!$A$6:$A$798,0)),"22.04.2025")</f>
        <v>22.04.2025</v>
      </c>
      <c r="BE73" s="135">
        <f>IF($D72=1,BE$8,IF($D72=2,BE$9,IF($D72=3,BE$10)))</f>
        <v>184</v>
      </c>
      <c r="BF73" s="134" t="str">
        <f t="array" ref="BF73">IF(MAX(IF((ISNUMBER(SEARCH("Групова злітаність",Main!$M$6:$M$798)))*(Main!$B$6:$B$798='Стан БГ'!C73),Main!$A$6:$A$798,0))&gt;0,MAX(IF((ISNUMBER(SEARCH("Групова злітаність",Main!$M$6:$M$798)))*(Main!$B$6:$B$798='Стан БГ'!C73),Main!$A$6:$A$798,0)),"24.04.2025")</f>
        <v>24.04.2025</v>
      </c>
      <c r="BG73" s="135">
        <f>IF($D72=1,BG$8,IF($D72=2,BG$9,IF($D72=3,BG$10)))</f>
        <v>365</v>
      </c>
      <c r="BH73" s="176">
        <f t="array" ref="BH73">IF(MAX(IF((ISNUMBER(SEARCH("На десантування",Main!$M$6:$M$798)))*(Main!$B$6:$B$798='Стан БГ'!C73),Main!$A$6:$A$798,0))&gt;0,MAX(IF((ISNUMBER(SEARCH("На десантування",Main!$M$6:$M$798)))*(Main!$B$6:$B$798='Стан БГ'!C73),Main!$A$6:$A$798,0)),"07.01.2025")</f>
        <v>45907</v>
      </c>
      <c r="BI73" s="143">
        <f>IF($D72=1,BI$8,IF($D72=2,BI$9,IF($D72=3,BI$10)))</f>
        <v>184</v>
      </c>
      <c r="BJ73" s="142">
        <v>45664.0</v>
      </c>
      <c r="BK73" s="22"/>
    </row>
    <row r="74" ht="4.5" customHeight="1">
      <c r="A74" s="23"/>
      <c r="B74" s="24"/>
      <c r="C74" s="24"/>
      <c r="D74" s="24"/>
      <c r="E74" s="123"/>
      <c r="F74" s="26"/>
      <c r="G74" s="24"/>
      <c r="H74" s="144"/>
      <c r="I74" s="145">
        <f>IF(AND(J72=1,OR($G72="вп",$G72="вд",$G72="шп",$G72="оа")),1,0)</f>
        <v>0</v>
      </c>
      <c r="J74" s="146">
        <f>IF(J73="",0,IF($C$2&lt;(I73+J73)-15,2,IF($C$2&lt;(I73+J73),1,"0")))</f>
        <v>2</v>
      </c>
      <c r="K74" s="147"/>
      <c r="L74" s="148" t="str">
        <f>IF(L73="",0,IF($C$2&lt;(K73+L73)-15,2,IF($C$2&lt;(K73+L73),1,"0")))</f>
        <v>0</v>
      </c>
      <c r="M74" s="147"/>
      <c r="N74" s="146" t="str">
        <f>IF(N73="",0,IF($C$2&lt;(M73+N73)-15,2,IF($C$2&lt;(M73+N73),1,"0")))</f>
        <v>0</v>
      </c>
      <c r="O74" s="149"/>
      <c r="P74" s="146" t="str">
        <f>IF(P73="",0,IF($C$2&lt;(O73+P73)-15,2,IF($C$2&lt;(O73+P73),1,"0")))</f>
        <v>0</v>
      </c>
      <c r="Q74" s="149"/>
      <c r="R74" s="172">
        <f>IF(R73="",0,IF($C$2&lt;(Q73+R73)-15,2,IF($C$2&lt;(Q73+R73),1,"0")))</f>
        <v>0</v>
      </c>
      <c r="S74" s="262"/>
      <c r="T74" s="171">
        <f>IF(T73="",0,IF($C$2&lt;(S73+T73)-15,2,IF($C$2&lt;(S73+T73),1,"0")))</f>
        <v>0</v>
      </c>
      <c r="U74" s="155"/>
      <c r="V74" s="151"/>
      <c r="W74" s="152"/>
      <c r="X74" s="26"/>
      <c r="Y74" s="153"/>
      <c r="Z74" s="26"/>
      <c r="AA74" s="153"/>
      <c r="AB74" s="26"/>
      <c r="AC74" s="153"/>
      <c r="AD74" s="26"/>
      <c r="AE74" s="153"/>
      <c r="AF74" s="26"/>
      <c r="AG74" s="153"/>
      <c r="AH74" s="26"/>
      <c r="AI74" s="153"/>
      <c r="AJ74" s="26"/>
      <c r="AK74" s="153"/>
      <c r="AL74" s="33"/>
      <c r="AM74" s="154"/>
      <c r="AN74" s="26"/>
      <c r="AO74" s="150"/>
      <c r="AP74" s="146" t="str">
        <f>IF(AP73 = "",0,IF($C$2&lt;(AO73+AP73)-15,2,IF($C$2&lt;(AO73+AP73),1,"0")))</f>
        <v>0</v>
      </c>
      <c r="AQ74" s="150"/>
      <c r="AR74" s="146">
        <f>IF(AR73 = "",0,IF($C$2&lt;(AQ73+AR73)-15,2,IF($C$2&lt;(AQ73+AR73),1,"0")))</f>
        <v>2</v>
      </c>
      <c r="AS74" s="150"/>
      <c r="AT74" s="26"/>
      <c r="AU74" s="153"/>
      <c r="AV74" s="33"/>
      <c r="AW74" s="181"/>
      <c r="AX74" s="26"/>
      <c r="AY74" s="153"/>
      <c r="AZ74" s="26"/>
      <c r="BA74" s="153"/>
      <c r="BB74" s="26"/>
      <c r="BC74" s="153"/>
      <c r="BD74" s="26"/>
      <c r="BE74" s="153"/>
      <c r="BF74" s="26"/>
      <c r="BG74" s="153"/>
      <c r="BI74" s="155"/>
      <c r="BK74" s="22"/>
    </row>
    <row r="75" ht="1.5" customHeight="1">
      <c r="A75" s="23"/>
      <c r="B75" s="24"/>
      <c r="C75" s="24"/>
      <c r="D75" s="24"/>
      <c r="E75" s="123"/>
      <c r="F75" s="26"/>
      <c r="G75" s="24"/>
      <c r="H75" s="263"/>
      <c r="I75" s="110">
        <v>1.0</v>
      </c>
      <c r="J75" s="115">
        <f>IF(OR(J77=1,J77=2),1,0)</f>
        <v>0</v>
      </c>
      <c r="K75" s="110">
        <v>1.0</v>
      </c>
      <c r="L75" s="157">
        <f>IF(OR(L77=1,L77=2),1,0)</f>
        <v>0</v>
      </c>
      <c r="M75" s="110">
        <v>1.0</v>
      </c>
      <c r="N75" s="117">
        <f>IF(OR(N77=1,N77=2),1,0)</f>
        <v>0</v>
      </c>
      <c r="O75" s="110">
        <v>1.0</v>
      </c>
      <c r="P75" s="115">
        <f>IF(OR(P77=1,P77=2),1,0)</f>
        <v>0</v>
      </c>
      <c r="Q75" s="110">
        <v>1.0</v>
      </c>
      <c r="R75" s="117">
        <f>IF(OR(R77=1,R77=2),1,0)</f>
        <v>0</v>
      </c>
      <c r="S75" s="264">
        <v>1.0</v>
      </c>
      <c r="T75" s="119">
        <f>IF(OR(T77=1,T77=2),1,0)</f>
        <v>0</v>
      </c>
      <c r="U75" s="121"/>
      <c r="V75" s="151"/>
      <c r="W75" s="116"/>
      <c r="X75" s="26"/>
      <c r="Y75" s="159"/>
      <c r="Z75" s="26"/>
      <c r="AA75" s="159"/>
      <c r="AB75" s="26"/>
      <c r="AC75" s="159"/>
      <c r="AD75" s="26"/>
      <c r="AE75" s="159"/>
      <c r="AF75" s="26"/>
      <c r="AG75" s="159"/>
      <c r="AH75" s="26"/>
      <c r="AI75" s="159"/>
      <c r="AJ75" s="26"/>
      <c r="AK75" s="159"/>
      <c r="AL75" s="33"/>
      <c r="AM75" s="120"/>
      <c r="AN75" s="26"/>
      <c r="AO75" s="114"/>
      <c r="AP75" s="115"/>
      <c r="AQ75" s="114"/>
      <c r="AR75" s="115"/>
      <c r="AS75" s="114"/>
      <c r="AT75" s="26"/>
      <c r="AU75" s="159"/>
      <c r="AV75" s="33"/>
      <c r="AW75" s="183"/>
      <c r="AX75" s="26"/>
      <c r="AY75" s="159"/>
      <c r="AZ75" s="26"/>
      <c r="BA75" s="159"/>
      <c r="BB75" s="26"/>
      <c r="BC75" s="159"/>
      <c r="BD75" s="26"/>
      <c r="BE75" s="159"/>
      <c r="BF75" s="26"/>
      <c r="BG75" s="159"/>
      <c r="BI75" s="121"/>
      <c r="BK75" s="22"/>
    </row>
    <row r="76" ht="15.75" customHeight="1">
      <c r="A76" s="23"/>
      <c r="B76" s="24"/>
      <c r="C76" s="24"/>
      <c r="D76" s="24"/>
      <c r="E76" s="123"/>
      <c r="F76" s="26"/>
      <c r="G76" s="24"/>
      <c r="H76" s="124"/>
      <c r="I76" s="125">
        <f>I73</f>
        <v>107</v>
      </c>
      <c r="J76" s="162" t="str">
        <f t="array" ref="J76">IF(MAX(IF((Main!$D$6:$D$798="ДПМУ")*(Main!$B$6:$B$798='Стан БГ'!C73)*(Main!$C$6:$C$798='Стан БГ'!H75),Main!$A$6:$A$798,0),L76,N76,P76,R76,T76)&gt;0,MAX(IF((Main!$D$6:$D$798="ДПМУ")*(Main!$B$6:$B$798='Стан БГ'!C73)*(Main!$C$6:$C$798='Стан БГ'!H75),Main!$A$6:$A$798,0),L76,N76,P76,R76,T76),"")</f>
        <v/>
      </c>
      <c r="K76" s="161">
        <f>K73</f>
        <v>92</v>
      </c>
      <c r="L76" s="162" t="str">
        <f t="array" ref="L76">IF(MAX(IF((Main!$D$6:$D$798="ДСМУ")*(Main!$B$6:$B$798='Стан БГ'!C73)*(Main!$C$6:$C$798='Стан БГ'!H75),Main!$A$6:$A$798,0),N76,R76,T76)&gt;0,MAX(IF((Main!$D$6:$D$798="ДСМУ")*(Main!$B$6:$B$798='Стан БГ'!C73)*(Main!$C$6:$C$798='Стан БГ'!H75),Main!$A$6:$A$798,0),N76,R76,T76),"")</f>
        <v/>
      </c>
      <c r="M76" s="161">
        <f>M73</f>
        <v>77</v>
      </c>
      <c r="N76" s="162" t="str">
        <f t="array" ref="N76">IF(MAX(IF((Main!$D$6:$D$798="ДВМП")*(Main!$B$6:$B$798='Стан БГ'!C73)*(Main!$C$6:$C$798='Стан БГ'!H75),Main!$A$6:$A$798,0),T76)&gt;0,MAX(IF((Main!$D$6:$D$798="ДВМП")*(Main!$B$6:$B$798='Стан БГ'!C73)*(Main!$C$6:$C$798='Стан БГ'!H75),Main!$A$6:$A$798,0),T76),"")</f>
        <v/>
      </c>
      <c r="O76" s="163">
        <f>O73</f>
        <v>92</v>
      </c>
      <c r="P76" s="128" t="str">
        <f t="array" ref="P76">IF(MAX(IF((Main!$D$6:$D$798="НПМУ")*(Main!$B$6:$B$798='Стан БГ'!C73)*(Main!$C$6:$C$798='Стан БГ'!H75),Main!$A$6:$A$798,0),R76,T76)&gt;0,MAX(IF((Main!$D$6:$D$798="НПМУ")*(Main!$B$6:$B$798='Стан БГ'!C73)*(Main!$C$6:$C$798='Стан БГ'!H75),Main!$A$6:$A$798,0),R76,T76),"")</f>
        <v/>
      </c>
      <c r="Q76" s="161">
        <f>Q73</f>
        <v>77</v>
      </c>
      <c r="R76" s="162" t="str">
        <f t="array" ref="R76">IF(MAX(IF((Main!$D$6:$D$798="НСМУ")*(Main!$B$6:$B$798='Стан БГ'!C73)*(Main!$C$6:$C$798='Стан БГ'!H75),Main!$A$6:$A$798,0),T76)&gt;0,MAX(IF((Main!$D$6:$D$798="НСМУ")*(Main!$B$6:$B$798='Стан БГ'!C73)*(Main!$C$6:$C$798='Стан БГ'!H75),Main!$A$6:$A$798,0),T76),"")</f>
        <v/>
      </c>
      <c r="S76" s="163">
        <f>S73</f>
        <v>61</v>
      </c>
      <c r="T76" s="129" t="str">
        <f t="array" ref="T76">IF(MAX(IF((Main!$D$6:$D$798="НВМП")*(Main!$B$6:$B$798='Стан БГ'!C73)*(Main!$C$6:$C$798='Стан БГ'!H75),Main!$A$6:$A$798,0))&gt;0,MAX(IF((Main!$D$6:$D$798="НВМП")*(Main!$B$6:$B$798='Стан БГ'!C73)*(Main!$C$6:$C$798='Стан БГ'!H75),Main!$A$6:$A$798,0)),"")</f>
        <v/>
      </c>
      <c r="U76" s="143">
        <f>U73</f>
        <v>365</v>
      </c>
      <c r="V76" s="151"/>
      <c r="W76" s="133">
        <f>IF($D72=1,W$8,IF($D72=2,W$9,IF($D72=3,W$10)))</f>
        <v>365</v>
      </c>
      <c r="X76" s="26"/>
      <c r="Y76" s="135">
        <f>IF($D72=1,Y$8,IF($D72=2,Y$9,IF($D72=3,Y$10)))</f>
        <v>365</v>
      </c>
      <c r="Z76" s="26"/>
      <c r="AA76" s="135">
        <f>IF($D72=1,AA$8,IF($D72=2,AA$9,IF($D72=3,AA$10)))</f>
        <v>365</v>
      </c>
      <c r="AB76" s="26"/>
      <c r="AC76" s="135">
        <f>IF($D72=1,AC$8,IF($D72=2,AC$9,IF($D72=3,AC$10)))</f>
        <v>365</v>
      </c>
      <c r="AD76" s="26"/>
      <c r="AE76" s="135">
        <f>AE73</f>
        <v>365</v>
      </c>
      <c r="AF76" s="26"/>
      <c r="AG76" s="135">
        <f>AG73</f>
        <v>365</v>
      </c>
      <c r="AH76" s="26"/>
      <c r="AI76" s="135">
        <f>AI73</f>
        <v>365</v>
      </c>
      <c r="AJ76" s="26"/>
      <c r="AK76" s="135">
        <f>AK73</f>
        <v>365</v>
      </c>
      <c r="AL76" s="33"/>
      <c r="AM76" s="141">
        <f>AM73</f>
        <v>365</v>
      </c>
      <c r="AN76" s="26"/>
      <c r="AO76" s="131" t="b">
        <f>IF($D75=1,AO$8,IF($D75=2,AO$9,IF($D75=3,AO$10)))</f>
        <v>0</v>
      </c>
      <c r="AP76" s="128"/>
      <c r="AQ76" s="135" t="b">
        <f>IF($D75=1,AQ$8,IF($D75=2,AQ$9,IF($D75=3,AQ$10)))</f>
        <v>0</v>
      </c>
      <c r="AR76" s="128">
        <v>45674.0</v>
      </c>
      <c r="AS76" s="131" t="b">
        <f>IF($D75=1,AS$8,IF($D75=2,AS$9,IF($D75=3,AS$10)))</f>
        <v>0</v>
      </c>
      <c r="AT76" s="26"/>
      <c r="AU76" s="135" t="b">
        <f>IF($D75=1,AU$8,IF($D75=2,AU$9,IF($D75=3,AU$10)))</f>
        <v>0</v>
      </c>
      <c r="AV76" s="33"/>
      <c r="AW76" s="179">
        <f>IF($D72=1,AW$8,IF($D72=2,AW$9,IF($D72=3,AW$10)))</f>
        <v>365</v>
      </c>
      <c r="AX76" s="26"/>
      <c r="AY76" s="135">
        <f>IF($D72=1,AY$8,IF($D72=2,AY$9,IF($D72=3,AY$10)))</f>
        <v>365</v>
      </c>
      <c r="AZ76" s="26"/>
      <c r="BA76" s="135">
        <f>IF($D72=1,BA$8,IF($D72=2,BA$9,IF($D72=3,BA$10)))</f>
        <v>122</v>
      </c>
      <c r="BB76" s="26"/>
      <c r="BC76" s="135">
        <f>IF($D72=1,BC$8,IF($D72=2,BC$9,IF($D72=3,BC$10)))</f>
        <v>184</v>
      </c>
      <c r="BD76" s="26"/>
      <c r="BE76" s="135">
        <f>BE73</f>
        <v>184</v>
      </c>
      <c r="BF76" s="26"/>
      <c r="BG76" s="135">
        <f>BG73</f>
        <v>365</v>
      </c>
      <c r="BI76" s="143">
        <f>BI73</f>
        <v>184</v>
      </c>
      <c r="BK76" s="22"/>
    </row>
    <row r="77" ht="4.5" customHeight="1">
      <c r="A77" s="165"/>
      <c r="B77" s="166"/>
      <c r="C77" s="167"/>
      <c r="D77" s="166"/>
      <c r="E77" s="168"/>
      <c r="F77" s="65"/>
      <c r="G77" s="60"/>
      <c r="H77" s="169"/>
      <c r="I77" s="145">
        <f>IF(AND(J72=1,OR($G72="вп",$G72="вд",$G72="шп",$G72="оа")),1,0)</f>
        <v>0</v>
      </c>
      <c r="J77" s="146">
        <f>IF(J76="",0,IF($C$2&lt;(I76+J76)-15,2,IF($C$2&lt;(I76+J76),1,"0")))</f>
        <v>0</v>
      </c>
      <c r="K77" s="147"/>
      <c r="L77" s="148">
        <f>IF(L76="",0,IF($C$2&lt;(K76+L76)-15,2,IF($C$2&lt;(K76+L76),1,"0")))</f>
        <v>0</v>
      </c>
      <c r="M77" s="147"/>
      <c r="N77" s="146">
        <f>IF(N76="",0,IF($C$2&lt;(M76+N76)-15,2,IF($C$2&lt;(M76+N76),1,"0")))</f>
        <v>0</v>
      </c>
      <c r="O77" s="149"/>
      <c r="P77" s="146">
        <f>IF(P76="",0,IF($C$2&lt;(O76+P76)-15,2,IF($C$2&lt;(O76+P76),1,"0")))</f>
        <v>0</v>
      </c>
      <c r="Q77" s="149"/>
      <c r="R77" s="172">
        <f>IF(R76="",0,IF($C$2&lt;(Q76+R76)-15,2,IF($C$2&lt;(Q76+R76),1,"0")))</f>
        <v>0</v>
      </c>
      <c r="S77" s="262"/>
      <c r="T77" s="171">
        <f>IF(T76="",0,IF($C$2&lt;(S76+T76)-15,2,IF($C$2&lt;(S76+T76),1,"0")))</f>
        <v>0</v>
      </c>
      <c r="U77" s="173"/>
      <c r="V77" s="146">
        <f>IF(V73 = "",0,IF($C$2&lt;(U73+V73)-15,2,IF($C$2&lt;(U73+V73),1,"0")))</f>
        <v>0</v>
      </c>
      <c r="W77" s="152"/>
      <c r="X77" s="146">
        <f>IF(X73 = "",0,IF($C$2&lt;(W73+X73)-15,2,IF($C$2&lt;(W73+X73),1,"0")))</f>
        <v>2</v>
      </c>
      <c r="Y77" s="147"/>
      <c r="Z77" s="146">
        <f>IF(Z73 = "",0,IF($C$2&lt;(Y73+Z73)-15,2,IF($C$2&lt;(Y73+Z73),1,"0")))</f>
        <v>2</v>
      </c>
      <c r="AA77" s="147"/>
      <c r="AB77" s="146">
        <f>IF(AB73 = "",0,IF($C$2&lt;(AA73+AB73)-15,2,IF($C$2&lt;(AA73+AB73),1,"0")))</f>
        <v>2</v>
      </c>
      <c r="AC77" s="147"/>
      <c r="AD77" s="146">
        <f>IF(AD73 = "",0,IF($C$2&lt;(AC73+AD73)-15,2,IF($C$2&lt;(AC73+AD73),1,"0")))</f>
        <v>2</v>
      </c>
      <c r="AE77" s="147"/>
      <c r="AF77" s="146" t="str">
        <f>IF(AF73 = "",0,IF($C$2&lt;(AE73+AF73)-15,2,IF($C$2&lt;(AE73+AF73),1,"0")))</f>
        <v>0</v>
      </c>
      <c r="AG77" s="147"/>
      <c r="AH77" s="146">
        <f>IF(AH73 = "",0,IF($C$2&lt;(AG73+AH73)-15,2,IF($C$2&lt;(AG73+AH73),1,"0")))</f>
        <v>2</v>
      </c>
      <c r="AI77" s="147"/>
      <c r="AJ77" s="146" t="str">
        <f>IF(AJ73 = "",0,IF($C$2&lt;(AI73+AJ73)-15,2,IF($C$2&lt;(AI73+AJ73),1,"0")))</f>
        <v>0</v>
      </c>
      <c r="AK77" s="147"/>
      <c r="AL77" s="171">
        <f>IF(AL73 = "",0,IF($C$2&lt;(AK73+AL73)-15,2,IF($C$2&lt;(AK73+AL73),1,"0")))</f>
        <v>0</v>
      </c>
      <c r="AM77" s="147"/>
      <c r="AN77" s="146" t="str">
        <f>IF(AN73 = "",0,IF($C$2&lt;(AM73+AN73)-15,2,IF($C$2&lt;(AM73+AN73),1,"0")))</f>
        <v>0</v>
      </c>
      <c r="AO77" s="150"/>
      <c r="AP77" s="146">
        <f>IF(AP76 = "",0,IF($C$2&lt;(AO73+AP76)-15,2,IF($C$2&lt;(AO73+AP76),1,"0")))</f>
        <v>0</v>
      </c>
      <c r="AQ77" s="150"/>
      <c r="AR77" s="146" t="str">
        <f>IF(AR76 = "",0,IF($C$2&lt;(AQ73+AR76)-15,2,IF($C$2&lt;(AQ73+AR76),1,"0")))</f>
        <v>0</v>
      </c>
      <c r="AS77" s="150"/>
      <c r="AT77" s="146" t="str">
        <f>IF(AT73 = "",0,IF($C$2&lt;(AS73+AT73)-15,2,IF($C$2&lt;(AS73+AT73),1,"0")))</f>
        <v>0</v>
      </c>
      <c r="AU77" s="150"/>
      <c r="AV77" s="171" t="str">
        <f>IF(AV73 = "",0,IF($C$2&lt;(AU73+AV73)-15,2,IF($C$2&lt;(AU73+AV73),1,"0")))</f>
        <v>0</v>
      </c>
      <c r="AW77" s="154"/>
      <c r="AX77" s="146">
        <f>IF(AX73 = "",0,IF($C$2&lt;(AW73+AX73)-15,2,IF($C$2&lt;(AW73+AX73),1,"0")))</f>
        <v>2</v>
      </c>
      <c r="AY77" s="147"/>
      <c r="AZ77" s="146">
        <f>IF(AZ73 = "",0,IF($C$2&lt;(AY73+AZ73)-15,2,IF($C$2&lt;(AY73+AZ73),1,"0")))</f>
        <v>2</v>
      </c>
      <c r="BA77" s="147"/>
      <c r="BB77" s="146" t="str">
        <f>IF(BB73 = "",0,IF($C$2&lt;(BA73+BB73)-15,2,IF($C$2&lt;(BA73+BB73),1,"0")))</f>
        <v>0</v>
      </c>
      <c r="BC77" s="147"/>
      <c r="BD77" s="146" t="str">
        <f>IF(BD73 = "",0,IF($C$2&lt;(BC73+BD73)-15,2,IF($C$2&lt;(BC73+BD73),1,"0")))</f>
        <v>0</v>
      </c>
      <c r="BE77" s="147"/>
      <c r="BF77" s="146" t="str">
        <f>IF(BF73 = "",0,IF($C$2&lt;(BE73+BF73)-15,2,IF($C$2&lt;(BE73+BF73),1,"0")))</f>
        <v>0</v>
      </c>
      <c r="BG77" s="147"/>
      <c r="BH77" s="172">
        <f>IF(BH73 = "",0,IF($C$2&lt;(BG73+BH73)-15,2,IF($C$2&lt;(BG73+BH73),1,"0")))</f>
        <v>2</v>
      </c>
      <c r="BI77" s="173"/>
      <c r="BJ77" s="172" t="str">
        <f>IF(BJ73 = "",0,IF($C$2&lt;(BI73+BJ73)-15,2,IF($C$2&lt;(BI73+BJ73),1,"0")))</f>
        <v>0</v>
      </c>
      <c r="BK77" s="22"/>
    </row>
    <row r="78" ht="1.5" customHeight="1">
      <c r="A78" s="269">
        <v>6.0</v>
      </c>
      <c r="B78" s="104" t="s">
        <v>81</v>
      </c>
      <c r="C78" s="174"/>
      <c r="D78" s="106">
        <v>2.0</v>
      </c>
      <c r="E78" s="107">
        <v>1.0</v>
      </c>
      <c r="F78" s="184">
        <f>IF(E78=1,1.5,1)</f>
        <v>1.5</v>
      </c>
      <c r="G78" s="245"/>
      <c r="H78" s="255" t="s">
        <v>70</v>
      </c>
      <c r="I78" s="110">
        <v>1.0</v>
      </c>
      <c r="J78" s="111">
        <f>IF(OR(J80=1,J80=2),1,0)</f>
        <v>1</v>
      </c>
      <c r="K78" s="110">
        <v>1.0</v>
      </c>
      <c r="L78" s="175">
        <f>IF(OR(L80=1,L80=2),1,0)</f>
        <v>0</v>
      </c>
      <c r="M78" s="110">
        <v>1.0</v>
      </c>
      <c r="N78" s="112">
        <f>IF(OR(N80=1,N80=2),1,0)</f>
        <v>0</v>
      </c>
      <c r="O78" s="110">
        <v>1.0</v>
      </c>
      <c r="P78" s="111">
        <f>IF(OR(P80=1,P80=2),1,0)</f>
        <v>0</v>
      </c>
      <c r="Q78" s="110">
        <v>1.0</v>
      </c>
      <c r="R78" s="112">
        <f>IF(OR(R80=1,R80=2),1,0)</f>
        <v>0</v>
      </c>
      <c r="S78" s="264">
        <v>1.0</v>
      </c>
      <c r="T78" s="246">
        <f>IF(OR(T80=1,T80=2),1,0)</f>
        <v>0</v>
      </c>
      <c r="U78" s="121"/>
      <c r="V78" s="115"/>
      <c r="W78" s="116"/>
      <c r="X78" s="115"/>
      <c r="Y78" s="114"/>
      <c r="Z78" s="115"/>
      <c r="AA78" s="114"/>
      <c r="AB78" s="115"/>
      <c r="AC78" s="114"/>
      <c r="AD78" s="115"/>
      <c r="AE78" s="114"/>
      <c r="AF78" s="115"/>
      <c r="AG78" s="114"/>
      <c r="AH78" s="115"/>
      <c r="AI78" s="114"/>
      <c r="AJ78" s="115"/>
      <c r="AK78" s="114"/>
      <c r="AL78" s="119"/>
      <c r="AM78" s="120"/>
      <c r="AN78" s="115"/>
      <c r="AO78" s="114"/>
      <c r="AP78" s="115"/>
      <c r="AQ78" s="114"/>
      <c r="AR78" s="115"/>
      <c r="AS78" s="114"/>
      <c r="AT78" s="115"/>
      <c r="AU78" s="114"/>
      <c r="AV78" s="119"/>
      <c r="AW78" s="120"/>
      <c r="AX78" s="115"/>
      <c r="AY78" s="114"/>
      <c r="AZ78" s="115"/>
      <c r="BA78" s="114"/>
      <c r="BB78" s="115"/>
      <c r="BC78" s="114"/>
      <c r="BD78" s="115"/>
      <c r="BE78" s="114"/>
      <c r="BF78" s="115"/>
      <c r="BG78" s="114"/>
      <c r="BH78" s="117"/>
      <c r="BI78" s="121"/>
      <c r="BJ78" s="117"/>
      <c r="BK78" s="22"/>
    </row>
    <row r="79" ht="15.0" customHeight="1">
      <c r="A79" s="23"/>
      <c r="B79" s="24"/>
      <c r="C79" s="122" t="s">
        <v>84</v>
      </c>
      <c r="D79" s="24"/>
      <c r="E79" s="123"/>
      <c r="F79" s="26"/>
      <c r="G79" s="24"/>
      <c r="H79" s="124"/>
      <c r="I79" s="125">
        <f>IF($D78=1,I$8,IF($D78=2,I$9,I$10))</f>
        <v>92</v>
      </c>
      <c r="J79" s="128">
        <f t="array" ref="J79">IF(MAX(IF((Main!$D$6:$D$798="ДПМУ")*(Main!$B$6:$B$798='Стан БГ'!C79)*(Main!$C$6:$C$798='Стан БГ'!H78),Main!$A$6:$A$798,0),L79,N79,P79,R79,T79)&gt;0,MAX(IF((Main!$D$6:$D$798="ДПМУ")*(Main!$B$6:$B$798='Стан БГ'!C79)*(Main!$C$6:$C$798='Стан БГ'!H78),Main!$A$6:$A$798,0),L79,N79,P79,R79,T79),"")</f>
        <v>46043</v>
      </c>
      <c r="K79" s="127">
        <f>IF($D78=1,K$8,IF($D78=2,K$9,K$10))</f>
        <v>77</v>
      </c>
      <c r="L79" s="128">
        <f t="array" ref="L79">MAX(IF((Main!$D$6:$D$798="ДСМУ")*(Main!$B$6:$B$798='Стан БГ'!C79)*(Main!$C$6:$C$798='Стан БГ'!H78),Main!$A$6:$A$798,0),N79,R79,T79,Date(2024,5,16))</f>
        <v>45428</v>
      </c>
      <c r="M79" s="127">
        <f>IF($D78=1,M$8,IF($D78=2,M$9,M$10))</f>
        <v>61</v>
      </c>
      <c r="N79" s="129" t="str">
        <f t="array" ref="N79">IF(MAX(IF((Main!$D$6:$D$798="ДВМП")*(Main!$B$6:$B$798='Стан БГ'!C79)*(Main!$C$6:$C$798='Стан БГ'!H78),Main!$A$6:$A$798,0),T79)&gt;0,MAX(IF((Main!$D$6:$D$798="ДВМП")*(Main!$B$6:$B$798='Стан БГ'!C79)*(Main!$C$6:$C$798='Стан БГ'!H78),Main!$A$6:$A$798,0),T79),"")</f>
        <v/>
      </c>
      <c r="O79" s="127">
        <f>IF($D78=1,O$8,IF($D78=2,O$9,O$10))</f>
        <v>77</v>
      </c>
      <c r="P79" s="128">
        <f t="array" ref="P79">MAX(IF((Main!$D$6:$D$798="НПМУ")*(Main!$B$6:$B$798='Стан БГ'!C79)*(Main!$C$6:$C$798='Стан БГ'!H78),Main!$A$6:$A$798,0),R79,T79,Date(2025,8,25))</f>
        <v>45956</v>
      </c>
      <c r="Q79" s="127">
        <f>IF($D78=1,Q$8,IF($D78=2,Q$9,Q$10))</f>
        <v>61</v>
      </c>
      <c r="R79" s="162" t="str">
        <f t="array" ref="R79">IF(MAX(IF((Main!$D$6:$D$798="НСМУ")*(Main!$B$6:$B$798='Стан БГ'!C79)*(Main!$C$6:$C$798='Стан БГ'!H78),Main!$A$6:$A$798,0),T79)&gt;0,MAX(IF((Main!$D$6:$D$798="НСМУ")*(Main!$B$6:$B$798='Стан БГ'!C79)*(Main!$C$6:$C$798='Стан БГ'!H78),Main!$A$6:$A$798,0),T79),"")</f>
        <v/>
      </c>
      <c r="S79" s="163">
        <f>IF($D78=1,S$8,IF($D78=2,S$9,S$10))</f>
        <v>46</v>
      </c>
      <c r="T79" s="129" t="str">
        <f t="array" ref="T79">IF(MAX(IF((Main!$D$6:$D$798="НВМП")*(Main!$B$6:$B$798='Стан БГ'!C79)*(Main!$C$6:$C$798='Стан БГ'!H78),Main!$A$6:$A$798,0))&gt;0,MAX(IF((Main!$D$6:$D$798="НВМП")*(Main!$B$6:$B$798='Стан БГ'!C79)*(Main!$C$6:$C$798='Стан БГ'!H78),Main!$A$6:$A$798,0)),"")</f>
        <v/>
      </c>
      <c r="U79" s="143">
        <f>IF($D78=1,U$8,IF($D78=2,U$9,IF($D78=3,U$10)))</f>
        <v>365</v>
      </c>
      <c r="V79" s="132">
        <v>45513.0</v>
      </c>
      <c r="W79" s="133">
        <f>IF($D78=1,W$8,IF($D78=2,W$9,IF($D78=3,W$10)))</f>
        <v>365</v>
      </c>
      <c r="X79" s="134">
        <v>45889.0</v>
      </c>
      <c r="Y79" s="135">
        <f>IF($D78=1,Y$8,IF($D78=2,Y$9,IF($D78=3,Y$10)))</f>
        <v>365</v>
      </c>
      <c r="Z79" s="134">
        <v>45889.0</v>
      </c>
      <c r="AA79" s="135">
        <f>IF($D78=1,AA$8,IF($D78=2,AA$9,IF($D78=3,AA$10)))</f>
        <v>365</v>
      </c>
      <c r="AB79" s="248">
        <v>46025.0</v>
      </c>
      <c r="AC79" s="135">
        <f>IF($D78=1,AC$8,IF($D78=2,AC$9,IF($D78=3,AC$10)))</f>
        <v>365</v>
      </c>
      <c r="AD79" s="134">
        <v>45785.0</v>
      </c>
      <c r="AE79" s="135">
        <f>IF($D78=1,AE$8,IF($D78=2,AE$9,IF($D78=3,AE$10)))</f>
        <v>365</v>
      </c>
      <c r="AF79" s="134">
        <v>45785.0</v>
      </c>
      <c r="AG79" s="135">
        <f>IF($D78=1,AG$8,IF($D78=2,AG$9,IF($D78=3,AG$10)))</f>
        <v>365</v>
      </c>
      <c r="AH79" s="248">
        <v>46025.0</v>
      </c>
      <c r="AI79" s="135">
        <f>IF($D78=1,AI$8,IF($D78=2,AI$9,IF($D78=3,AI$10)))</f>
        <v>365</v>
      </c>
      <c r="AJ79" s="134">
        <v>45820.0</v>
      </c>
      <c r="AK79" s="135">
        <f>IF($D78=1,AK$8,IF($D78=2,AK$9,IF($D78=3,AK$10)))</f>
        <v>365</v>
      </c>
      <c r="AL79" s="178"/>
      <c r="AM79" s="141">
        <f>IF($D78=1,AM$8,IF($D78=2,AM$9,IF($D78=3,AM$10)))</f>
        <v>365</v>
      </c>
      <c r="AN79" s="248">
        <v>45647.0</v>
      </c>
      <c r="AO79" s="131">
        <f>IF($D78=1,AO$8,IF($D78=2,AO$9,IF($D78=3,AO$10)))</f>
        <v>184</v>
      </c>
      <c r="AP79" s="126">
        <v>45925.0</v>
      </c>
      <c r="AQ79" s="135">
        <f>IF($D78=1,AQ$8,IF($D78=2,AQ$9,IF($D78=3,AQ$10)))</f>
        <v>365</v>
      </c>
      <c r="AR79" s="128">
        <v>45687.0</v>
      </c>
      <c r="AS79" s="131">
        <f>IF($D78=1,AS$8,IF($D78=2,AS$9,IF($D78=3,AS$10)))</f>
        <v>365</v>
      </c>
      <c r="AT79" s="134">
        <v>45876.0</v>
      </c>
      <c r="AU79" s="135">
        <f>IF($D78=1,AU$8,IF($D78=2,AU$9,IF($D78=3,AU$10)))</f>
        <v>1095</v>
      </c>
      <c r="AV79" s="274">
        <v>45824.0</v>
      </c>
      <c r="AW79" s="179">
        <f>IF($D78=1,AW$8,IF($D78=2,AW$9,IF($D78=3,AW$10)))</f>
        <v>365</v>
      </c>
      <c r="AX79" s="134">
        <f t="array" ref="AX79">IF(MAX(IF((ISNUMBER(SEARCH("Складний пілотаж",Main!$M$6:$M$798)))*(Main!$B$6:$B$798='Стан БГ'!C79),Main!$A$6:$A$798,0))&gt;0,MAX(IF((ISNUMBER(SEARCH("Складний пілотаж",Main!$M$6:$M$798)))*(Main!$B$6:$B$798='Стан БГ'!C79),Main!$A$6:$A$798,0)),"23.08.2025")</f>
        <v>45894</v>
      </c>
      <c r="AY79" s="135">
        <f>IF($D78=1,AY$8,IF($D78=2,AY$9,IF($D78=3,AY$10)))</f>
        <v>365</v>
      </c>
      <c r="AZ79" s="134">
        <f t="array" ref="AZ79">IF(MAX(IF((ISNUMBER(SEARCH("Мала висота",Main!$M$6:$M$798)))*(Main!$B$6:$B$798='Стан БГ'!C79),Main!$A$6:$A$798,0))&gt;0,MAX(IF((ISNUMBER(SEARCH("Мала висота",Main!$M$6:$M$798)))*(Main!$B$6:$B$798='Стан БГ'!C79),Main!$A$6:$A$798,0)),"25.08.2025")</f>
        <v>45955</v>
      </c>
      <c r="BA79" s="135">
        <f>IF($D78=1,BA$8,IF($D78=2,BA$9,IF($D78=3,BA$10)))</f>
        <v>122</v>
      </c>
      <c r="BB79" s="134">
        <f t="array" ref="BB79">IF(MAX(IF((ISNUMBER(SEARCH("Гр. мала висота (ОНБ)",Main!$M$6:$M$798)))*(Main!$B$6:$B$798='Стан БГ'!C79),Main!$A$6:$A$798,0))&gt;0,MAX(IF((ISNUMBER(SEARCH("Гр. мала висота (ОНБ)",Main!$M$6:$M$798)))*(Main!$B$6:$B$798='Стан БГ'!C79),Main!$A$6:$A$798,0)),"23.08.2025")</f>
        <v>45909</v>
      </c>
      <c r="BC79" s="135">
        <f>IF($D78=1,BC$8,IF($D78=2,BC$9,IF($D78=3,BC$10)))</f>
        <v>184</v>
      </c>
      <c r="BD79" s="134" t="str">
        <f t="array" ref="BD79">IF(MAX(IF((ISNUMBER(SEARCH("Бойове застосування",Main!$M$6:$M$798)))*(Main!$B$6:$B$798='Стан БГ'!C79),Main!$A$6:$A$798,0))&gt;0,MAX(IF((ISNUMBER(SEARCH("Бойове застосування",Main!$M$6:$M$798)))*(Main!$B$6:$B$798='Стан БГ'!C79),Main!$A$6:$A$798,0)),"12.06.2025")</f>
        <v>12.06.2025</v>
      </c>
      <c r="BE79" s="135">
        <f>IF($D78=1,BE$8,IF($D78=2,BE$9,IF($D78=3,BE$10)))</f>
        <v>184</v>
      </c>
      <c r="BF79" s="134" t="str">
        <f t="array" ref="BF79">IF(MAX(IF((ISNUMBER(SEARCH("Групова злітаність",Main!$M$6:$M$798)))*(Main!$B$6:$B$798='Стан БГ'!C79),Main!$A$6:$A$798,0))&gt;0,MAX(IF((ISNUMBER(SEARCH("Групова злітаність",Main!$M$6:$M$798)))*(Main!$B$6:$B$798='Стан БГ'!C79),Main!$A$6:$A$798,0)),"14.01.2024")</f>
        <v>14.01.2024</v>
      </c>
      <c r="BG79" s="135">
        <f>IF($D78=1,BG$8,IF($D78=2,BG$9,IF($D78=3,BG$10)))</f>
        <v>365</v>
      </c>
      <c r="BH79" s="176" t="str">
        <f t="array" ref="BH79">IF(MAX(IF((ISNUMBER(SEARCH("На десантування",Main!$M$6:$M$798)))*(Main!$B$6:$B$798='Стан БГ'!C79),Main!$A$6:$A$798,0))&gt;0,MAX(IF((ISNUMBER(SEARCH("На десантування",Main!$M$6:$M$798)))*(Main!$B$6:$B$798='Стан БГ'!C79),Main!$A$6:$A$798,0)),"05.04.2024")</f>
        <v>05.04.2024</v>
      </c>
      <c r="BI79" s="143">
        <f>IF($D78=1,BI$8,IF($D78=2,BI$9,IF($D78=3,BI$10)))</f>
        <v>184</v>
      </c>
      <c r="BJ79" s="142">
        <v>45512.0</v>
      </c>
      <c r="BK79" s="22"/>
    </row>
    <row r="80" ht="4.5" customHeight="1">
      <c r="A80" s="23"/>
      <c r="B80" s="24"/>
      <c r="C80" s="24"/>
      <c r="D80" s="24"/>
      <c r="E80" s="123"/>
      <c r="F80" s="26"/>
      <c r="G80" s="24"/>
      <c r="H80" s="144"/>
      <c r="I80" s="145">
        <f>IF(AND(J78=1,OR($G78="вп",$G78="вд",$G78="шп",$G78="оа")),1,0)</f>
        <v>0</v>
      </c>
      <c r="J80" s="146">
        <f>IF(J79="",0,IF($C$2&lt;(I79+J79)-15,2,IF($C$2&lt;(I79+J79),1,"0")))</f>
        <v>2</v>
      </c>
      <c r="K80" s="147"/>
      <c r="L80" s="148" t="str">
        <f>IF(L79="",0,IF($C$2&lt;(K79+L79)-15,2,IF($C$2&lt;(K79+L79),1,"0")))</f>
        <v>0</v>
      </c>
      <c r="M80" s="147"/>
      <c r="N80" s="146">
        <f>IF(N79="",0,IF($C$2&lt;(M79+N79)-15,2,IF($C$2&lt;(M79+N79),1,"0")))</f>
        <v>0</v>
      </c>
      <c r="O80" s="149"/>
      <c r="P80" s="146" t="str">
        <f>IF(P79="",0,IF($C$2&lt;(O79+P79)-15,2,IF($C$2&lt;(O79+P79),1,"0")))</f>
        <v>0</v>
      </c>
      <c r="Q80" s="149"/>
      <c r="R80" s="172">
        <f>IF(R79="",0,IF($C$2&lt;(Q79+R79)-15,2,IF($C$2&lt;(Q79+R79),1,"0")))</f>
        <v>0</v>
      </c>
      <c r="S80" s="262"/>
      <c r="T80" s="171">
        <f>IF(T79="",0,IF($C$2&lt;(S79+T79)-15,2,IF($C$2&lt;(S79+T79),1,"0")))</f>
        <v>0</v>
      </c>
      <c r="U80" s="155"/>
      <c r="V80" s="151"/>
      <c r="W80" s="152"/>
      <c r="X80" s="26"/>
      <c r="Y80" s="153"/>
      <c r="Z80" s="26"/>
      <c r="AA80" s="153"/>
      <c r="AB80" s="26"/>
      <c r="AC80" s="153"/>
      <c r="AD80" s="26"/>
      <c r="AE80" s="153"/>
      <c r="AF80" s="26"/>
      <c r="AG80" s="153"/>
      <c r="AH80" s="26"/>
      <c r="AI80" s="153"/>
      <c r="AJ80" s="26"/>
      <c r="AK80" s="153"/>
      <c r="AL80" s="33"/>
      <c r="AM80" s="154"/>
      <c r="AN80" s="26"/>
      <c r="AO80" s="150"/>
      <c r="AP80" s="146">
        <f>IF(AP79 = "",0,IF($C$2&lt;(AO79+AP79)-15,2,IF($C$2&lt;(AO79+AP79),1,"0")))</f>
        <v>2</v>
      </c>
      <c r="AQ80" s="150"/>
      <c r="AR80" s="146" t="str">
        <f>IF(AR79 = "",0,IF($C$2&lt;(AQ79+AR79)-15,2,IF($C$2&lt;(AQ79+AR79),1,"0")))</f>
        <v>0</v>
      </c>
      <c r="AS80" s="150"/>
      <c r="AT80" s="26"/>
      <c r="AU80" s="153"/>
      <c r="AV80" s="33"/>
      <c r="AW80" s="181"/>
      <c r="AX80" s="26"/>
      <c r="AY80" s="153"/>
      <c r="AZ80" s="26"/>
      <c r="BA80" s="153"/>
      <c r="BB80" s="26"/>
      <c r="BC80" s="153"/>
      <c r="BD80" s="26"/>
      <c r="BE80" s="153"/>
      <c r="BF80" s="26"/>
      <c r="BG80" s="153"/>
      <c r="BI80" s="155"/>
      <c r="BK80" s="22"/>
    </row>
    <row r="81" ht="1.5" customHeight="1">
      <c r="A81" s="23"/>
      <c r="B81" s="24"/>
      <c r="C81" s="24"/>
      <c r="D81" s="24"/>
      <c r="E81" s="123"/>
      <c r="F81" s="26"/>
      <c r="G81" s="24"/>
      <c r="H81" s="263" t="s">
        <v>85</v>
      </c>
      <c r="I81" s="110">
        <v>1.0</v>
      </c>
      <c r="J81" s="115">
        <f>IF(OR(J83=1,J83=2),1,0)</f>
        <v>0</v>
      </c>
      <c r="K81" s="110">
        <v>1.0</v>
      </c>
      <c r="L81" s="157">
        <f>IF(OR(L83=1,L83=2),1,0)</f>
        <v>0</v>
      </c>
      <c r="M81" s="110">
        <v>1.0</v>
      </c>
      <c r="N81" s="117">
        <f>IF(OR(N83=1,N83=2),1,0)</f>
        <v>0</v>
      </c>
      <c r="O81" s="110">
        <v>1.0</v>
      </c>
      <c r="P81" s="115">
        <f>IF(OR(P83=1,P83=2),1,0)</f>
        <v>0</v>
      </c>
      <c r="Q81" s="110">
        <v>1.0</v>
      </c>
      <c r="R81" s="117">
        <f>IF(OR(R83=1,R83=2),1,0)</f>
        <v>0</v>
      </c>
      <c r="S81" s="264">
        <v>1.0</v>
      </c>
      <c r="T81" s="119">
        <f>IF(OR(T83=1,T83=2),1,0)</f>
        <v>0</v>
      </c>
      <c r="U81" s="121"/>
      <c r="V81" s="151"/>
      <c r="W81" s="116"/>
      <c r="X81" s="26"/>
      <c r="Y81" s="159"/>
      <c r="Z81" s="26"/>
      <c r="AA81" s="159"/>
      <c r="AB81" s="26"/>
      <c r="AC81" s="159"/>
      <c r="AD81" s="26"/>
      <c r="AE81" s="159"/>
      <c r="AF81" s="26"/>
      <c r="AG81" s="159"/>
      <c r="AH81" s="26"/>
      <c r="AI81" s="159"/>
      <c r="AJ81" s="26"/>
      <c r="AK81" s="159"/>
      <c r="AL81" s="33"/>
      <c r="AM81" s="120"/>
      <c r="AN81" s="26"/>
      <c r="AO81" s="114"/>
      <c r="AP81" s="115"/>
      <c r="AQ81" s="114"/>
      <c r="AR81" s="115"/>
      <c r="AS81" s="114"/>
      <c r="AT81" s="26"/>
      <c r="AU81" s="159"/>
      <c r="AV81" s="33"/>
      <c r="AW81" s="183"/>
      <c r="AX81" s="26"/>
      <c r="AY81" s="159"/>
      <c r="AZ81" s="26"/>
      <c r="BA81" s="159"/>
      <c r="BB81" s="26"/>
      <c r="BC81" s="159"/>
      <c r="BD81" s="26"/>
      <c r="BE81" s="159"/>
      <c r="BF81" s="26"/>
      <c r="BG81" s="159"/>
      <c r="BI81" s="121"/>
      <c r="BK81" s="22"/>
    </row>
    <row r="82" ht="15.75" customHeight="1">
      <c r="A82" s="23"/>
      <c r="B82" s="24"/>
      <c r="C82" s="24"/>
      <c r="D82" s="24"/>
      <c r="E82" s="123"/>
      <c r="F82" s="26"/>
      <c r="G82" s="24"/>
      <c r="H82" s="124"/>
      <c r="I82" s="125">
        <f>I79</f>
        <v>92</v>
      </c>
      <c r="J82" s="162">
        <f t="array" ref="J82">MAX(IF((Main!$D$6:$D$798="ДПМУ")*(Main!$B$6:$B$798='Стан БГ'!C79)*(Main!$C$6:$C$798='Стан БГ'!H81),Main!$A$6:$A$798,0),L82,N82,P82,R82,T82,Date(2022,10,12))</f>
        <v>44846</v>
      </c>
      <c r="K82" s="161">
        <f>K79</f>
        <v>77</v>
      </c>
      <c r="L82" s="162">
        <f t="array" ref="L82">MAX(IF((Main!$D$6:$D$798="ДСМУ")*(Main!$B$6:$B$798='Стан БГ'!C79)*(Main!$C$6:$C$798='Стан БГ'!H81),Main!$A$6:$A$798,0),N82,R82,T82,Date(2022,10,12))</f>
        <v>44846</v>
      </c>
      <c r="M82" s="161">
        <f>M79</f>
        <v>61</v>
      </c>
      <c r="N82" s="162">
        <f t="array" ref="N82">MAX(IF((Main!$D$6:$D$798="ДВМП")*(Main!$B$6:$B$798='Стан БГ'!C79)*(Main!$C$6:$C$798='Стан БГ'!H81),Main!$A$6:$A$798,0),T82,Date(2022,10,12))</f>
        <v>44846</v>
      </c>
      <c r="O82" s="163">
        <f>O79</f>
        <v>77</v>
      </c>
      <c r="P82" s="162">
        <f t="array" ref="P82">MAX(IF((Main!$D$6:$D$798="НПМУ")*(Main!$B$6:$B$798='Стан БГ'!C79)*(Main!$C$6:$C$798='Стан БГ'!H81),Main!$A$6:$A$798,0),R82,T82,Date(2022,10,12))</f>
        <v>44846</v>
      </c>
      <c r="Q82" s="161">
        <f>Q79</f>
        <v>61</v>
      </c>
      <c r="R82" s="162">
        <f t="array" ref="R82">MAX(IF((Main!$D$6:$D$798="НСМУ")*(Main!$B$6:$B$798='Стан БГ'!C79)*(Main!$C$6:$C$798='Стан БГ'!H81),Main!$A$6:$A$798,0),T82,Date(2022,10,12))</f>
        <v>44846</v>
      </c>
      <c r="S82" s="163">
        <f>S79</f>
        <v>46</v>
      </c>
      <c r="T82" s="129">
        <f t="array" ref="T82">MAX(IF((Main!$D$6:$D$798="НВМП")*(Main!$B$6:$B$798='Стан БГ'!C79)*(Main!$C$6:$C$798='Стан БГ'!H81),Main!$A$6:$A$798,0),Date(2022,10,12))</f>
        <v>44846</v>
      </c>
      <c r="U82" s="143">
        <f>U79</f>
        <v>365</v>
      </c>
      <c r="V82" s="151"/>
      <c r="W82" s="133">
        <f>IF($D78=1,W$8,IF($D78=2,W$9,IF($D78=3,W$10)))</f>
        <v>365</v>
      </c>
      <c r="X82" s="26"/>
      <c r="Y82" s="135">
        <f>IF($D78=1,Y$8,IF($D78=2,Y$9,IF($D78=3,Y$10)))</f>
        <v>365</v>
      </c>
      <c r="Z82" s="26"/>
      <c r="AA82" s="135">
        <f>IF($D78=1,AA$8,IF($D78=2,AA$9,IF($D78=3,AA$10)))</f>
        <v>365</v>
      </c>
      <c r="AB82" s="26"/>
      <c r="AC82" s="135">
        <f>IF($D78=1,AC$8,IF($D78=2,AC$9,IF($D78=3,AC$10)))</f>
        <v>365</v>
      </c>
      <c r="AD82" s="26"/>
      <c r="AE82" s="135">
        <f>AE79</f>
        <v>365</v>
      </c>
      <c r="AF82" s="26"/>
      <c r="AG82" s="135">
        <f>AG79</f>
        <v>365</v>
      </c>
      <c r="AH82" s="26"/>
      <c r="AI82" s="135">
        <f>AI79</f>
        <v>365</v>
      </c>
      <c r="AJ82" s="26"/>
      <c r="AK82" s="135">
        <f>AK79</f>
        <v>365</v>
      </c>
      <c r="AL82" s="33"/>
      <c r="AM82" s="141">
        <f>AM79</f>
        <v>365</v>
      </c>
      <c r="AN82" s="26"/>
      <c r="AO82" s="131" t="b">
        <f>IF($D81=1,AO$8,IF($D81=2,AO$9,IF($D81=3,AO$10)))</f>
        <v>0</v>
      </c>
      <c r="AP82" s="128">
        <v>45742.0</v>
      </c>
      <c r="AQ82" s="135" t="b">
        <f>IF($D81=1,AQ$8,IF($D81=2,AQ$9,IF($D81=3,AQ$10)))</f>
        <v>0</v>
      </c>
      <c r="AR82" s="126">
        <v>45881.0</v>
      </c>
      <c r="AS82" s="131" t="b">
        <f>IF($D81=1,AS$8,IF($D81=2,AS$9,IF($D81=3,AS$10)))</f>
        <v>0</v>
      </c>
      <c r="AT82" s="26"/>
      <c r="AU82" s="135" t="b">
        <f>IF($D81=1,AU$8,IF($D81=2,AU$9,IF($D81=3,AU$10)))</f>
        <v>0</v>
      </c>
      <c r="AV82" s="33"/>
      <c r="AW82" s="179">
        <f>IF($D78=1,AW$8,IF($D78=2,AW$9,IF($D78=3,AW$10)))</f>
        <v>365</v>
      </c>
      <c r="AX82" s="26"/>
      <c r="AY82" s="135">
        <f>IF($D78=1,AY$8,IF($D78=2,AY$9,IF($D78=3,AY$10)))</f>
        <v>365</v>
      </c>
      <c r="AZ82" s="26"/>
      <c r="BA82" s="135">
        <f>IF($D78=1,BA$8,IF($D78=2,BA$9,IF($D78=3,BA$10)))</f>
        <v>122</v>
      </c>
      <c r="BB82" s="26"/>
      <c r="BC82" s="135">
        <f>IF($D78=1,BC$8,IF($D78=2,BC$9,IF($D78=3,BC$10)))</f>
        <v>184</v>
      </c>
      <c r="BD82" s="26"/>
      <c r="BE82" s="135">
        <f>BE79</f>
        <v>184</v>
      </c>
      <c r="BF82" s="26"/>
      <c r="BG82" s="135">
        <f>BG79</f>
        <v>365</v>
      </c>
      <c r="BI82" s="143">
        <f>BI79</f>
        <v>184</v>
      </c>
      <c r="BK82" s="22"/>
    </row>
    <row r="83" ht="4.5" customHeight="1">
      <c r="A83" s="165"/>
      <c r="B83" s="166"/>
      <c r="C83" s="167"/>
      <c r="D83" s="166"/>
      <c r="E83" s="168"/>
      <c r="F83" s="65"/>
      <c r="G83" s="166"/>
      <c r="H83" s="169"/>
      <c r="I83" s="145">
        <f>IF(AND(J78=1,OR($G78="вп",$G78="вд",$G78="шп",$G78="оа")),1,0)</f>
        <v>0</v>
      </c>
      <c r="J83" s="146" t="str">
        <f>IF(J82="",0,IF($C$2&lt;(I82+J82)-15,2,IF($C$2&lt;(I82+J82),1,"0")))</f>
        <v>0</v>
      </c>
      <c r="K83" s="147"/>
      <c r="L83" s="148" t="str">
        <f>IF(L82="",0,IF($C$2&lt;(K82+L82)-15,2,IF($C$2&lt;(K82+L82),1,"0")))</f>
        <v>0</v>
      </c>
      <c r="M83" s="147"/>
      <c r="N83" s="146" t="str">
        <f>IF(N82="",0,IF($C$2&lt;(M82+N82)-15,2,IF($C$2&lt;(M82+N82),1,"0")))</f>
        <v>0</v>
      </c>
      <c r="O83" s="149"/>
      <c r="P83" s="146" t="str">
        <f>IF(P82="",0,IF($C$2&lt;(O82+P82)-15,2,IF($C$2&lt;(O82+P82),1,"0")))</f>
        <v>0</v>
      </c>
      <c r="Q83" s="149"/>
      <c r="R83" s="172" t="str">
        <f>IF(R82="",0,IF($C$2&lt;(Q82+R82)-15,2,IF($C$2&lt;(Q82+R82),1,"0")))</f>
        <v>0</v>
      </c>
      <c r="S83" s="262"/>
      <c r="T83" s="171" t="str">
        <f>IF(T82="",0,IF($C$2&lt;(S82+T82)-15,2,IF($C$2&lt;(S82+T82),1,"0")))</f>
        <v>0</v>
      </c>
      <c r="U83" s="173"/>
      <c r="V83" s="146" t="str">
        <f>IF(V79 = "",0,IF($C$2&lt;(U79+V79)-15,2,IF($C$2&lt;(U79+V79),1,"0")))</f>
        <v>0</v>
      </c>
      <c r="W83" s="152"/>
      <c r="X83" s="146">
        <f>IF(X79 = "",0,IF($C$2&lt;(W79+X79)-15,2,IF($C$2&lt;(W79+X79),1,"0")))</f>
        <v>2</v>
      </c>
      <c r="Y83" s="147"/>
      <c r="Z83" s="146">
        <f>IF(Z79 = "",0,IF($C$2&lt;(Y79+Z79)-15,2,IF($C$2&lt;(Y79+Z79),1,"0")))</f>
        <v>2</v>
      </c>
      <c r="AA83" s="147"/>
      <c r="AB83" s="146">
        <f>IF(AB79 = "",0,IF($C$2&lt;(AA79+AB79)-15,2,IF($C$2&lt;(AA79+AB79),1,"0")))</f>
        <v>2</v>
      </c>
      <c r="AC83" s="147"/>
      <c r="AD83" s="146">
        <f>IF(AD79 = "",0,IF($C$2&lt;(AC79+AD79)-15,2,IF($C$2&lt;(AC79+AD79),1,"0")))</f>
        <v>2</v>
      </c>
      <c r="AE83" s="147"/>
      <c r="AF83" s="146">
        <f>IF(AF79 = "",0,IF($C$2&lt;(AE79+AF79)-15,2,IF($C$2&lt;(AE79+AF79),1,"0")))</f>
        <v>2</v>
      </c>
      <c r="AG83" s="147"/>
      <c r="AH83" s="146">
        <f>IF(AH79 = "",0,IF($C$2&lt;(AG79+AH79)-15,2,IF($C$2&lt;(AG79+AH79),1,"0")))</f>
        <v>2</v>
      </c>
      <c r="AI83" s="147"/>
      <c r="AJ83" s="146">
        <f>IF(AJ79 = "",0,IF($C$2&lt;(AI79+AJ79)-15,2,IF($C$2&lt;(AI79+AJ79),1,"0")))</f>
        <v>2</v>
      </c>
      <c r="AK83" s="147"/>
      <c r="AL83" s="171">
        <f>IF(AL79 = "",0,IF($C$2&lt;(AK79+AL79)-15,2,IF($C$2&lt;(AK79+AL79),1,"0")))</f>
        <v>0</v>
      </c>
      <c r="AM83" s="147"/>
      <c r="AN83" s="146" t="str">
        <f>IF(AN79 = "",0,IF($C$2&lt;(AM79+AN79)-15,2,IF($C$2&lt;(AM79+AN79),1,"0")))</f>
        <v>0</v>
      </c>
      <c r="AO83" s="150"/>
      <c r="AP83" s="146" t="str">
        <f>IF(AP82 = "",0,IF($C$2&lt;(AO79+AP82)-15,2,IF($C$2&lt;(AO79+AP82),1,"0")))</f>
        <v>0</v>
      </c>
      <c r="AQ83" s="150"/>
      <c r="AR83" s="146">
        <f>IF(AR82 = "",0,IF($C$2&lt;(AQ79+AR82)-15,2,IF($C$2&lt;(AQ79+AR82),1,"0")))</f>
        <v>2</v>
      </c>
      <c r="AS83" s="150"/>
      <c r="AT83" s="146">
        <f>IF(AT79 = "",0,IF($C$2&lt;(AS79+AT79)-15,2,IF($C$2&lt;(AS79+AT79),1,"0")))</f>
        <v>2</v>
      </c>
      <c r="AU83" s="150"/>
      <c r="AV83" s="171">
        <f>IF(AV79 = "",0,IF($C$2&lt;(AU79+AV79)-15,2,IF($C$2&lt;(AU79+AV79),1,"0")))</f>
        <v>2</v>
      </c>
      <c r="AW83" s="154"/>
      <c r="AX83" s="146">
        <f>IF(AX79 = "",0,IF($C$2&lt;(AW79+AX79)-15,2,IF($C$2&lt;(AW79+AX79),1,"0")))</f>
        <v>2</v>
      </c>
      <c r="AY83" s="147"/>
      <c r="AZ83" s="146">
        <f>IF(AZ79 = "",0,IF($C$2&lt;(AY79+AZ79)-15,2,IF($C$2&lt;(AY79+AZ79),1,"0")))</f>
        <v>2</v>
      </c>
      <c r="BA83" s="147"/>
      <c r="BB83" s="146" t="str">
        <f>IF(BB79 = "",0,IF($C$2&lt;(BA79+BB79)-15,2,IF($C$2&lt;(BA79+BB79),1,"0")))</f>
        <v>0</v>
      </c>
      <c r="BC83" s="147"/>
      <c r="BD83" s="146" t="str">
        <f>IF(BD79 = "",0,IF($C$2&lt;(BC79+BD79)-15,2,IF($C$2&lt;(BC79+BD79),1,"0")))</f>
        <v>0</v>
      </c>
      <c r="BE83" s="147"/>
      <c r="BF83" s="146" t="str">
        <f>IF(BF79 = "",0,IF($C$2&lt;(BE79+BF79)-15,2,IF($C$2&lt;(BE79+BF79),1,"0")))</f>
        <v>0</v>
      </c>
      <c r="BG83" s="147"/>
      <c r="BH83" s="172" t="str">
        <f>IF(BH79 = "",0,IF($C$2&lt;(BG79+BH79)-15,2,IF($C$2&lt;(BG79+BH79),1,"0")))</f>
        <v>0</v>
      </c>
      <c r="BI83" s="173"/>
      <c r="BJ83" s="172" t="str">
        <f>IF(BJ79 = "",0,IF($C$2&lt;(BI79+BJ79)-15,2,IF($C$2&lt;(BI79+BJ79),1,"0")))</f>
        <v>0</v>
      </c>
      <c r="BK83" s="22"/>
    </row>
    <row r="84" ht="1.5" customHeight="1">
      <c r="A84" s="269">
        <v>7.0</v>
      </c>
      <c r="B84" s="104" t="s">
        <v>81</v>
      </c>
      <c r="C84" s="174"/>
      <c r="D84" s="106">
        <v>2.0</v>
      </c>
      <c r="E84" s="107">
        <v>1.0</v>
      </c>
      <c r="F84" s="184">
        <f>IF(E84=1,1.5,1)</f>
        <v>1.5</v>
      </c>
      <c r="G84" s="245"/>
      <c r="H84" s="109" t="s">
        <v>55</v>
      </c>
      <c r="I84" s="110">
        <v>1.0</v>
      </c>
      <c r="J84" s="111">
        <f>IF(OR(J86=1,J86=2),1,0)</f>
        <v>0</v>
      </c>
      <c r="K84" s="110">
        <v>1.0</v>
      </c>
      <c r="L84" s="175">
        <f>IF(OR(L86=1,L86=2),1,0)</f>
        <v>0</v>
      </c>
      <c r="M84" s="110">
        <v>1.0</v>
      </c>
      <c r="N84" s="112">
        <f>IF(OR(N86=1,N86=2),1,0)</f>
        <v>0</v>
      </c>
      <c r="O84" s="110">
        <v>1.0</v>
      </c>
      <c r="P84" s="111">
        <f>IF(OR(P86=1,P86=2),1,0)</f>
        <v>0</v>
      </c>
      <c r="Q84" s="110">
        <v>1.0</v>
      </c>
      <c r="R84" s="112">
        <f>IF(OR(R86=1,R86=2),1,0)</f>
        <v>0</v>
      </c>
      <c r="S84" s="264">
        <v>1.0</v>
      </c>
      <c r="T84" s="246">
        <f>IF(OR(T86=1,T86=2),1,0)</f>
        <v>0</v>
      </c>
      <c r="U84" s="121"/>
      <c r="V84" s="115"/>
      <c r="W84" s="116"/>
      <c r="X84" s="115"/>
      <c r="Y84" s="114"/>
      <c r="Z84" s="115"/>
      <c r="AA84" s="114"/>
      <c r="AB84" s="115"/>
      <c r="AC84" s="114"/>
      <c r="AD84" s="115"/>
      <c r="AE84" s="114"/>
      <c r="AF84" s="115"/>
      <c r="AG84" s="114"/>
      <c r="AH84" s="115"/>
      <c r="AI84" s="114"/>
      <c r="AJ84" s="115"/>
      <c r="AK84" s="114"/>
      <c r="AL84" s="119"/>
      <c r="AM84" s="120"/>
      <c r="AN84" s="115"/>
      <c r="AO84" s="114"/>
      <c r="AP84" s="115"/>
      <c r="AQ84" s="114"/>
      <c r="AR84" s="115"/>
      <c r="AS84" s="114"/>
      <c r="AT84" s="115"/>
      <c r="AU84" s="114"/>
      <c r="AV84" s="119"/>
      <c r="AW84" s="120"/>
      <c r="AX84" s="115"/>
      <c r="AY84" s="114"/>
      <c r="AZ84" s="115"/>
      <c r="BA84" s="114"/>
      <c r="BB84" s="115"/>
      <c r="BC84" s="114"/>
      <c r="BD84" s="115"/>
      <c r="BE84" s="114"/>
      <c r="BF84" s="115"/>
      <c r="BG84" s="114"/>
      <c r="BH84" s="117"/>
      <c r="BI84" s="121"/>
      <c r="BJ84" s="117"/>
      <c r="BK84" s="22"/>
    </row>
    <row r="85" ht="15.0" customHeight="1">
      <c r="A85" s="23"/>
      <c r="B85" s="24"/>
      <c r="C85" s="275" t="s">
        <v>86</v>
      </c>
      <c r="D85" s="24"/>
      <c r="E85" s="123"/>
      <c r="F85" s="26"/>
      <c r="G85" s="24"/>
      <c r="H85" s="124"/>
      <c r="I85" s="125">
        <f>IF($D84=1,I$8,IF($D84=2,I$9,I$10))</f>
        <v>92</v>
      </c>
      <c r="J85" s="162">
        <f t="array" ref="J85">MAX(IF((Main!$D$6:$D$798="ДПМУ")*(Main!$B$6:$B$798='Стан БГ'!C85)*(Main!$C$6:$C$798='Стан БГ'!H84),Main!$A$6:$A$798,0),L85,N85,P85,R85,T85,Date(2025,4,17))</f>
        <v>45764</v>
      </c>
      <c r="K85" s="127">
        <f>IF($D84=1,K$8,IF($D84=2,K$9,K$10))</f>
        <v>77</v>
      </c>
      <c r="L85" s="128" t="str">
        <f t="array" ref="L85">IF(MAX(IF((Main!$D$6:$D$798="ДСМУ")*(Main!$B$6:$B$798='Стан БГ'!C85)*(Main!$C$6:$C$798='Стан БГ'!H84),Main!$A$6:$A$798,0),N85,R85,T85)&gt;0,MAX(IF((Main!$D$6:$D$798="ДСМУ")*(Main!$B$6:$B$798='Стан БГ'!C85)*(Main!$C$6:$C$798='Стан БГ'!H84),Main!$A$6:$A$798,0),N85,R85,T85),"")</f>
        <v/>
      </c>
      <c r="M85" s="127">
        <f>IF($D84=1,M$8,IF($D84=2,M$9,M$10))</f>
        <v>61</v>
      </c>
      <c r="N85" s="129" t="str">
        <f t="array" ref="N85">IF(MAX(IF((Main!$D$6:$D$798="ДВМП")*(Main!$B$6:$B$798='Стан БГ'!C85)*(Main!$C$6:$C$798='Стан БГ'!H84),Main!$A$6:$A$798,0),T85)&gt;0,MAX(IF((Main!$D$6:$D$798="ДВМП")*(Main!$B$6:$B$798='Стан БГ'!C85)*(Main!$C$6:$C$798='Стан БГ'!H84),Main!$A$6:$A$798,0),T85),"")</f>
        <v/>
      </c>
      <c r="O85" s="127">
        <f>IF($D84=1,O$8,IF($D84=2,O$9,O$10))</f>
        <v>77</v>
      </c>
      <c r="P85" s="129" t="str">
        <f t="array" ref="P85">IF(MAX(IF((Main!$D$6:$D$798="НПМУ")*(Main!$B$6:$B$798='Стан БГ'!C85)*(Main!$C$6:$C$798='Стан БГ'!H84),Main!$A$6:$A$798,0),R85,T85)&gt;0,MAX(IF((Main!$D$6:$D$798="НПМУ")*(Main!$B$6:$B$798='Стан БГ'!C85)*(Main!$C$6:$C$798='Стан БГ'!H84),Main!$A$6:$A$798,0),R85,T85),"")</f>
        <v/>
      </c>
      <c r="Q85" s="127">
        <f>IF($D84=1,Q$8,IF($D84=2,Q$9,Q$10))</f>
        <v>61</v>
      </c>
      <c r="R85" s="162" t="str">
        <f t="array" ref="R85">IF(MAX(IF((Main!$D$6:$D$798="НСМУ")*(Main!$B$6:$B$798='Стан БГ'!C85)*(Main!$C$6:$C$798='Стан БГ'!H84),Main!$A$6:$A$798,0),T85)&gt;0,MAX(IF((Main!$D$6:$D$798="НСМУ")*(Main!$B$6:$B$798='Стан БГ'!C85)*(Main!$C$6:$C$798='Стан БГ'!H84),Main!$A$6:$A$798,0),T85),"")</f>
        <v/>
      </c>
      <c r="S85" s="163">
        <f>IF($D84=1,S$8,IF($D84=2,S$9,S$10))</f>
        <v>46</v>
      </c>
      <c r="T85" s="129" t="str">
        <f t="array" ref="T85">IF(MAX(IF((Main!$D$6:$D$798="НВМП")*(Main!$B$6:$B$798='Стан БГ'!C85)*(Main!$C$6:$C$798='Стан БГ'!H84),Main!$A$6:$A$798,0))&gt;0,MAX(IF((Main!$D$6:$D$798="НВМП")*(Main!$B$6:$B$798='Стан БГ'!C85)*(Main!$C$6:$C$798='Стан БГ'!H84),Main!$A$6:$A$798,0)),"")</f>
        <v/>
      </c>
      <c r="U85" s="143">
        <f>IF($D84=1,U$8,IF($D84=2,U$9,IF($D84=3,U$10)))</f>
        <v>365</v>
      </c>
      <c r="V85" s="132"/>
      <c r="W85" s="133">
        <f>IF($D84=1,W$8,IF($D84=2,W$9,IF($D84=3,W$10)))</f>
        <v>365</v>
      </c>
      <c r="X85" s="134">
        <v>45825.0</v>
      </c>
      <c r="Y85" s="135">
        <f>IF($D84=1,Y$8,IF($D84=2,Y$9,IF($D84=3,Y$10)))</f>
        <v>365</v>
      </c>
      <c r="Z85" s="134">
        <v>45754.0</v>
      </c>
      <c r="AA85" s="135">
        <f>IF($D84=1,AA$8,IF($D84=2,AA$9,IF($D84=3,AA$10)))</f>
        <v>365</v>
      </c>
      <c r="AB85" s="134">
        <v>45754.0</v>
      </c>
      <c r="AC85" s="135">
        <f>IF($D84=1,AC$8,IF($D84=2,AC$9,IF($D84=3,AC$10)))</f>
        <v>365</v>
      </c>
      <c r="AD85" s="134">
        <v>45754.0</v>
      </c>
      <c r="AE85" s="135">
        <f>IF($D84=1,AE$8,IF($D84=2,AE$9,IF($D84=3,AE$10)))</f>
        <v>365</v>
      </c>
      <c r="AF85" s="134">
        <v>45754.0</v>
      </c>
      <c r="AG85" s="135">
        <f>IF($D84=1,AG$8,IF($D84=2,AG$9,IF($D84=3,AG$10)))</f>
        <v>365</v>
      </c>
      <c r="AH85" s="134">
        <v>45754.0</v>
      </c>
      <c r="AI85" s="135">
        <f>IF($D84=1,AI$8,IF($D84=2,AI$9,IF($D84=3,AI$10)))</f>
        <v>365</v>
      </c>
      <c r="AJ85" s="134">
        <v>45839.0</v>
      </c>
      <c r="AK85" s="135">
        <f>IF($D84=1,AK$8,IF($D84=2,AK$9,IF($D84=3,AK$10)))</f>
        <v>365</v>
      </c>
      <c r="AL85" s="178"/>
      <c r="AM85" s="141">
        <f>IF($D84=1,AM$8,IF($D84=2,AM$9,IF($D84=3,AM$10)))</f>
        <v>365</v>
      </c>
      <c r="AN85" s="134">
        <v>45597.0</v>
      </c>
      <c r="AO85" s="131">
        <f>IF($D84=1,AO$8,IF($D84=2,AO$9,IF($D84=3,AO$10)))</f>
        <v>184</v>
      </c>
      <c r="AP85" s="128">
        <v>45747.0</v>
      </c>
      <c r="AQ85" s="135">
        <f>IF($D84=1,AQ$8,IF($D84=2,AQ$9,IF($D84=3,AQ$10)))</f>
        <v>365</v>
      </c>
      <c r="AR85" s="126">
        <v>45880.0</v>
      </c>
      <c r="AS85" s="131">
        <f>IF($D84=1,AS$8,IF($D84=2,AS$9,IF($D84=3,AS$10)))</f>
        <v>365</v>
      </c>
      <c r="AT85" s="134">
        <v>45538.0</v>
      </c>
      <c r="AU85" s="135">
        <f>IF($D84=1,AU$8,IF($D84=2,AU$9,IF($D84=3,AU$10)))</f>
        <v>1095</v>
      </c>
      <c r="AV85" s="178" t="s">
        <v>65</v>
      </c>
      <c r="AW85" s="179">
        <f>IF($D84=1,AW$8,IF($D84=2,AW$9,IF($D84=3,AW$10)))</f>
        <v>365</v>
      </c>
      <c r="AX85" s="134" t="str">
        <f t="array" ref="AX85">IF(MAX(IF((ISNUMBER(SEARCH("Складний пілотаж",Main!$M$6:$M$798)))*(Main!$B$6:$B$798='Стан БГ'!C85),Main!$A$6:$A$798,0))&gt;0,MAX(IF((ISNUMBER(SEARCH("Складний пілотаж",Main!$M$6:$M$798)))*(Main!$B$6:$B$798='Стан БГ'!C85),Main!$A$6:$A$798,0)),"24.06.2025")</f>
        <v>24.06.2025</v>
      </c>
      <c r="AY85" s="135">
        <f>IF($D84=1,AY$8,IF($D84=2,AY$9,IF($D84=3,AY$10)))</f>
        <v>365</v>
      </c>
      <c r="AZ85" s="134" t="str">
        <f t="array" ref="AZ85">IF(MAX(IF((ISNUMBER(SEARCH("Мала висота",Main!$M$6:$M$798)))*(Main!$B$6:$B$798='Стан БГ'!C85),Main!$A$6:$A$798,0))&gt;0,MAX(IF((ISNUMBER(SEARCH("Мала висота",Main!$M$6:$M$798)))*(Main!$B$6:$B$798='Стан БГ'!C85),Main!$A$6:$A$798,0)),"24.06.2025")</f>
        <v>24.06.2025</v>
      </c>
      <c r="BA85" s="135">
        <f>IF($D84=1,BA$8,IF($D84=2,BA$9,IF($D84=3,BA$10)))</f>
        <v>122</v>
      </c>
      <c r="BB85" s="134" t="str">
        <f t="array" ref="BB85">IF(MAX(IF((ISNUMBER(SEARCH("Гр. мала висота (ОНБ)",Main!$M$6:$M$798)))*(Main!$B$6:$B$798='Стан БГ'!C85),Main!$A$6:$A$798,0))&gt;0,MAX(IF((ISNUMBER(SEARCH("Гр. мала висота (ОНБ)",Main!$M$6:$M$798)))*(Main!$B$6:$B$798='Стан БГ'!C85),Main!$A$6:$A$798,0)),"30.06.2025")</f>
        <v>30.06.2025</v>
      </c>
      <c r="BC85" s="135">
        <f>IF($D84=1,BC$8,IF($D84=2,BC$9,IF($D84=3,BC$10)))</f>
        <v>184</v>
      </c>
      <c r="BD85" s="134" t="str">
        <f t="array" ref="BD85">IF(MAX(IF((ISNUMBER(SEARCH("Бойове застосування",Main!$M$6:$M$798)))*(Main!$B$6:$B$798='Стан БГ'!C85),Main!$A$6:$A$798,0))&gt;0,MAX(IF((ISNUMBER(SEARCH("Бойове застосування",Main!$M$6:$M$798)))*(Main!$B$6:$B$798='Стан БГ'!C85),Main!$A$6:$A$798,0)),"24.06.2025")</f>
        <v>24.06.2025</v>
      </c>
      <c r="BE85" s="135">
        <f>IF($D84=1,BE$8,IF($D84=2,BE$9,IF($D84=3,BE$10)))</f>
        <v>184</v>
      </c>
      <c r="BF85" s="134" t="str">
        <f t="array" ref="BF85">IF(MAX(IF((ISNUMBER(SEARCH("Групова злітаність",Main!$M$6:$M$798)))*(Main!$B$6:$B$798='Стан БГ'!C85),Main!$A$6:$A$798,0))&gt;0,MAX(IF((ISNUMBER(SEARCH("Групова злітаність",Main!$M$6:$M$798)))*(Main!$B$6:$B$798='Стан БГ'!C85),Main!$A$6:$A$798,0)),"26.03.2025")</f>
        <v>26.03.2025</v>
      </c>
      <c r="BG85" s="135">
        <f>IF($D84=1,BG$8,IF($D84=2,BG$9,IF($D84=3,BG$10)))</f>
        <v>365</v>
      </c>
      <c r="BH85" s="176" t="str">
        <f t="array" ref="BH85">IF(MAX(IF((ISNUMBER(SEARCH("На десантування",Main!$M$6:$M$798)))*(Main!$B$6:$B$798='Стан БГ'!C85),Main!$A$6:$A$798,0))&gt;0,MAX(IF((ISNUMBER(SEARCH("На десантування",Main!$M$6:$M$798)))*(Main!$B$6:$B$798='Стан БГ'!C85),Main!$A$6:$A$798,0)),"")</f>
        <v/>
      </c>
      <c r="BI85" s="143">
        <f>IF($D84=1,BI$8,IF($D84=2,BI$9,IF($D84=3,BI$10)))</f>
        <v>184</v>
      </c>
      <c r="BJ85" s="142"/>
      <c r="BK85" s="22"/>
    </row>
    <row r="86" ht="4.5" customHeight="1">
      <c r="A86" s="23"/>
      <c r="B86" s="24"/>
      <c r="C86" s="24"/>
      <c r="D86" s="24"/>
      <c r="E86" s="123"/>
      <c r="F86" s="26"/>
      <c r="G86" s="24"/>
      <c r="H86" s="144"/>
      <c r="I86" s="145">
        <f>IF(AND(J84=1,OR($G84="вп",$G84="вд",$G84="шп",$G84="оа")),1,0)</f>
        <v>0</v>
      </c>
      <c r="J86" s="146" t="str">
        <f>IF(J85="",0,IF($C$2&lt;(I85+J85)-15,2,IF($C$2&lt;(I85+J85),1,"0")))</f>
        <v>0</v>
      </c>
      <c r="K86" s="147"/>
      <c r="L86" s="148">
        <f>IF(L85="",0,IF($C$2&lt;(K85+L85)-15,2,IF($C$2&lt;(K85+L85),1,"0")))</f>
        <v>0</v>
      </c>
      <c r="M86" s="147"/>
      <c r="N86" s="146">
        <f>IF(N85="",0,IF($C$2&lt;(M85+N85)-15,2,IF($C$2&lt;(M85+N85),1,"0")))</f>
        <v>0</v>
      </c>
      <c r="O86" s="149"/>
      <c r="P86" s="146">
        <f>IF(P85="",0,IF($C$2&lt;(O85+P85)-15,2,IF($C$2&lt;(O85+P85),1,"0")))</f>
        <v>0</v>
      </c>
      <c r="Q86" s="149"/>
      <c r="R86" s="172">
        <f>IF(R85="",0,IF($C$2&lt;(Q85+R85)-15,2,IF($C$2&lt;(Q85+R85),1,"0")))</f>
        <v>0</v>
      </c>
      <c r="S86" s="262"/>
      <c r="T86" s="171">
        <f>IF(T85="",0,IF($C$2&lt;(S85+T85)-15,2,IF($C$2&lt;(S85+T85),1,"0")))</f>
        <v>0</v>
      </c>
      <c r="U86" s="155"/>
      <c r="V86" s="151"/>
      <c r="W86" s="152"/>
      <c r="X86" s="26"/>
      <c r="Y86" s="153"/>
      <c r="Z86" s="26"/>
      <c r="AA86" s="153"/>
      <c r="AB86" s="26"/>
      <c r="AC86" s="153"/>
      <c r="AD86" s="26"/>
      <c r="AE86" s="153"/>
      <c r="AF86" s="26"/>
      <c r="AG86" s="153"/>
      <c r="AH86" s="26"/>
      <c r="AI86" s="153"/>
      <c r="AJ86" s="26"/>
      <c r="AK86" s="153"/>
      <c r="AL86" s="33"/>
      <c r="AM86" s="154"/>
      <c r="AN86" s="26"/>
      <c r="AO86" s="150"/>
      <c r="AP86" s="146" t="str">
        <f>IF(AP85 = "",0,IF($C$2&lt;(AO85+AP85)-15,2,IF($C$2&lt;(AO85+AP85),1,"0")))</f>
        <v>0</v>
      </c>
      <c r="AQ86" s="150"/>
      <c r="AR86" s="146">
        <f>IF(AR85 = "",0,IF($C$2&lt;(AQ85+AR85)-15,2,IF($C$2&lt;(AQ85+AR85),1,"0")))</f>
        <v>2</v>
      </c>
      <c r="AS86" s="150"/>
      <c r="AT86" s="26"/>
      <c r="AU86" s="153"/>
      <c r="AV86" s="33"/>
      <c r="AW86" s="181"/>
      <c r="AX86" s="26"/>
      <c r="AY86" s="153"/>
      <c r="AZ86" s="26"/>
      <c r="BA86" s="153"/>
      <c r="BB86" s="26"/>
      <c r="BC86" s="153"/>
      <c r="BD86" s="26"/>
      <c r="BE86" s="153"/>
      <c r="BF86" s="26"/>
      <c r="BG86" s="153"/>
      <c r="BI86" s="155"/>
      <c r="BK86" s="22"/>
    </row>
    <row r="87" ht="1.5" customHeight="1">
      <c r="A87" s="23"/>
      <c r="B87" s="24"/>
      <c r="C87" s="24"/>
      <c r="D87" s="24"/>
      <c r="E87" s="123"/>
      <c r="F87" s="26"/>
      <c r="G87" s="24"/>
      <c r="H87" s="156" t="s">
        <v>87</v>
      </c>
      <c r="I87" s="110">
        <v>1.0</v>
      </c>
      <c r="J87" s="115">
        <f>IF(OR(J89=1,J89=2),1,0)</f>
        <v>0</v>
      </c>
      <c r="K87" s="110">
        <v>1.0</v>
      </c>
      <c r="L87" s="157">
        <f>IF(OR(L89=1,L89=2),1,0)</f>
        <v>0</v>
      </c>
      <c r="M87" s="110">
        <v>1.0</v>
      </c>
      <c r="N87" s="117">
        <f>IF(OR(N89=1,N89=2),1,0)</f>
        <v>0</v>
      </c>
      <c r="O87" s="110">
        <v>1.0</v>
      </c>
      <c r="P87" s="115">
        <f>IF(OR(P89=1,P89=2),1,0)</f>
        <v>0</v>
      </c>
      <c r="Q87" s="110">
        <v>1.0</v>
      </c>
      <c r="R87" s="117">
        <f>IF(OR(R89=1,R89=2),1,0)</f>
        <v>0</v>
      </c>
      <c r="S87" s="264">
        <v>1.0</v>
      </c>
      <c r="T87" s="119">
        <f>IF(OR(T89=1,T89=2),1,0)</f>
        <v>0</v>
      </c>
      <c r="U87" s="121"/>
      <c r="V87" s="151"/>
      <c r="W87" s="116"/>
      <c r="X87" s="26"/>
      <c r="Y87" s="159"/>
      <c r="Z87" s="26"/>
      <c r="AA87" s="159"/>
      <c r="AB87" s="26"/>
      <c r="AC87" s="159"/>
      <c r="AD87" s="26"/>
      <c r="AE87" s="159"/>
      <c r="AF87" s="26"/>
      <c r="AG87" s="159"/>
      <c r="AH87" s="26"/>
      <c r="AI87" s="159"/>
      <c r="AJ87" s="26"/>
      <c r="AK87" s="159"/>
      <c r="AL87" s="33"/>
      <c r="AM87" s="120"/>
      <c r="AN87" s="26"/>
      <c r="AO87" s="114"/>
      <c r="AP87" s="115"/>
      <c r="AQ87" s="114"/>
      <c r="AR87" s="115"/>
      <c r="AS87" s="114"/>
      <c r="AT87" s="26"/>
      <c r="AU87" s="159"/>
      <c r="AV87" s="33"/>
      <c r="AW87" s="183"/>
      <c r="AX87" s="26"/>
      <c r="AY87" s="159"/>
      <c r="AZ87" s="26"/>
      <c r="BA87" s="159"/>
      <c r="BB87" s="26"/>
      <c r="BC87" s="159"/>
      <c r="BD87" s="26"/>
      <c r="BE87" s="159"/>
      <c r="BF87" s="26"/>
      <c r="BG87" s="159"/>
      <c r="BI87" s="121"/>
      <c r="BK87" s="22"/>
    </row>
    <row r="88" ht="15.75" customHeight="1">
      <c r="A88" s="23"/>
      <c r="B88" s="24"/>
      <c r="C88" s="24"/>
      <c r="D88" s="24"/>
      <c r="E88" s="123"/>
      <c r="F88" s="26"/>
      <c r="G88" s="24"/>
      <c r="H88" s="124"/>
      <c r="I88" s="125">
        <f>I85</f>
        <v>92</v>
      </c>
      <c r="J88" s="162">
        <f t="array" ref="J88">IF(MAX(IF((Main!$D$6:$D$798="ДПМУ")*(Main!$B$6:$B$798='Стан БГ'!C85)*(Main!$C$6:$C$798='Стан БГ'!H87),Main!$A$6:$A$798,0),L88,N88,P88,R88,T88)&gt;0,MAX(IF((Main!$D$6:$D$798="ДПМУ")*(Main!$B$6:$B$798='Стан БГ'!C85)*(Main!$C$6:$C$798='Стан БГ'!H87),Main!$A$6:$A$798,0),L88,N88,P88,R88,T88),"")</f>
        <v>45964</v>
      </c>
      <c r="K88" s="161">
        <f>K85</f>
        <v>77</v>
      </c>
      <c r="L88" s="162">
        <f t="array" ref="L88">MAX(IF((Main!$D$6:$D$798="ДСМУ")*(Main!$B$6:$B$798='Стан БГ'!C85)*(Main!$C$6:$C$798='Стан БГ'!H87),Main!$A$6:$A$798,0),N88,R88,T88,Date(2025,4,15))</f>
        <v>45961</v>
      </c>
      <c r="M88" s="161">
        <f>M85</f>
        <v>61</v>
      </c>
      <c r="N88" s="162">
        <f t="array" ref="N88">MAX(IF((Main!$D$6:$D$798="ДНВМП")*(Main!$B$6:$B$798='Стан БГ'!C85)*(Main!$C$6:$C$798='Стан БГ'!H87),Main!$A$6:$A$798,0),T88,Date(2025,4,15))</f>
        <v>45762</v>
      </c>
      <c r="O88" s="163">
        <f>O85</f>
        <v>77</v>
      </c>
      <c r="P88" s="128">
        <f t="array" ref="P88">MAX(IF((Main!$D$6:$D$798="НПМУ")*(Main!$B$6:$B$798='Стан БГ'!C85)*(Main!$C$6:$C$798='Стан БГ'!H87),Main!$A$6:$A$798,0),R88,T88,Date(2025,3,3))</f>
        <v>45719</v>
      </c>
      <c r="Q88" s="161">
        <f>Q85</f>
        <v>61</v>
      </c>
      <c r="R88" s="162">
        <f t="array" ref="R88">MAX(IF((Main!$D$6:$D$798="НСМУ")*(Main!$B$6:$B$798='Стан БГ'!C85)*(Main!$C$6:$C$798='Стан БГ'!H87),Main!$A$6:$A$798,0),T88,Date(2025,3,3))</f>
        <v>45719</v>
      </c>
      <c r="S88" s="163">
        <f>S85</f>
        <v>46</v>
      </c>
      <c r="T88" s="129">
        <f t="array" ref="T88">MAX(IF((Main!$D$6:$D$798="НВМП")*(Main!$B$6:$B$798='Стан БГ'!C85)*(Main!$C$6:$C$798='Стан БГ'!H87),Main!$A$6:$A$798,0),Date(2025,1,16))</f>
        <v>45673</v>
      </c>
      <c r="U88" s="143">
        <f>U85</f>
        <v>365</v>
      </c>
      <c r="V88" s="151"/>
      <c r="W88" s="133">
        <f>IF($D84=1,W$8,IF($D84=2,W$9,IF($D84=3,W$10)))</f>
        <v>365</v>
      </c>
      <c r="X88" s="26"/>
      <c r="Y88" s="135">
        <f>IF($D84=1,Y$8,IF($D84=2,Y$9,IF($D84=3,Y$10)))</f>
        <v>365</v>
      </c>
      <c r="Z88" s="26"/>
      <c r="AA88" s="135">
        <f>IF($D84=1,AA$8,IF($D84=2,AA$9,IF($D84=3,AA$10)))</f>
        <v>365</v>
      </c>
      <c r="AB88" s="26"/>
      <c r="AC88" s="135">
        <f>IF($D84=1,AC$8,IF($D84=2,AC$9,IF($D84=3,AC$10)))</f>
        <v>365</v>
      </c>
      <c r="AD88" s="26"/>
      <c r="AE88" s="135">
        <f>AE85</f>
        <v>365</v>
      </c>
      <c r="AF88" s="26"/>
      <c r="AG88" s="135">
        <f>AG85</f>
        <v>365</v>
      </c>
      <c r="AH88" s="26"/>
      <c r="AI88" s="135">
        <f>AI85</f>
        <v>365</v>
      </c>
      <c r="AJ88" s="26"/>
      <c r="AK88" s="135">
        <f>AK85</f>
        <v>365</v>
      </c>
      <c r="AL88" s="33"/>
      <c r="AM88" s="141">
        <f>AM85</f>
        <v>365</v>
      </c>
      <c r="AN88" s="26"/>
      <c r="AO88" s="131" t="b">
        <f>IF($D87=1,AO$8,IF($D87=2,AO$9,IF($D87=3,AO$10)))</f>
        <v>0</v>
      </c>
      <c r="AP88" s="128">
        <v>45747.0</v>
      </c>
      <c r="AQ88" s="135" t="b">
        <f>IF($D87=1,AQ$8,IF($D87=2,AQ$9,IF($D87=3,AQ$10)))</f>
        <v>0</v>
      </c>
      <c r="AR88" s="128">
        <v>45699.0</v>
      </c>
      <c r="AS88" s="131" t="b">
        <f>IF($D87=1,AS$8,IF($D87=2,AS$9,IF($D87=3,AS$10)))</f>
        <v>0</v>
      </c>
      <c r="AT88" s="26"/>
      <c r="AU88" s="135" t="b">
        <f>IF($D87=1,AU$8,IF($D87=2,AU$9,IF($D87=3,AU$10)))</f>
        <v>0</v>
      </c>
      <c r="AV88" s="33"/>
      <c r="AW88" s="179">
        <f>IF($D84=1,AW$8,IF($D84=2,AW$9,IF($D84=3,AW$10)))</f>
        <v>365</v>
      </c>
      <c r="AX88" s="26"/>
      <c r="AY88" s="135">
        <f>IF($D84=1,AY$8,IF($D84=2,AY$9,IF($D84=3,AY$10)))</f>
        <v>365</v>
      </c>
      <c r="AZ88" s="26"/>
      <c r="BA88" s="135">
        <f>IF($D84=1,BA$8,IF($D84=2,BA$9,IF($D84=3,BA$10)))</f>
        <v>122</v>
      </c>
      <c r="BB88" s="26"/>
      <c r="BC88" s="135">
        <f>IF($D84=1,BC$8,IF($D84=2,BC$9,IF($D84=3,BC$10)))</f>
        <v>184</v>
      </c>
      <c r="BD88" s="26"/>
      <c r="BE88" s="135">
        <f>BE85</f>
        <v>184</v>
      </c>
      <c r="BF88" s="26"/>
      <c r="BG88" s="135">
        <f>BG85</f>
        <v>365</v>
      </c>
      <c r="BI88" s="143">
        <f>BI85</f>
        <v>184</v>
      </c>
      <c r="BK88" s="22"/>
    </row>
    <row r="89" ht="4.5" customHeight="1">
      <c r="A89" s="165"/>
      <c r="B89" s="166"/>
      <c r="C89" s="167"/>
      <c r="D89" s="166"/>
      <c r="E89" s="168"/>
      <c r="F89" s="65"/>
      <c r="G89" s="166"/>
      <c r="H89" s="169"/>
      <c r="I89" s="145">
        <f>IF(AND(J84=1,OR($G84="вп",$G84="вд",$G84="шп",$G84="оа")),1,0)</f>
        <v>0</v>
      </c>
      <c r="J89" s="146" t="str">
        <f>IF(J88="",0,IF($C$2&lt;(I88+J88)-15,2,IF($C$2&lt;(I88+J88),1,"0")))</f>
        <v>0</v>
      </c>
      <c r="K89" s="147"/>
      <c r="L89" s="148" t="str">
        <f>IF(L88="",0,IF($C$2&lt;(K88+L88)-15,2,IF($C$2&lt;(K88+L88),1,"0")))</f>
        <v>0</v>
      </c>
      <c r="M89" s="147"/>
      <c r="N89" s="146" t="str">
        <f>IF(N88="",0,IF($C$2&lt;(M88+N88)-15,2,IF($C$2&lt;(M88+N88),1,"0")))</f>
        <v>0</v>
      </c>
      <c r="O89" s="149"/>
      <c r="P89" s="146" t="str">
        <f>IF(P88="",0,IF($C$2&lt;(O88+P88)-15,2,IF($C$2&lt;(O88+P88),1,"0")))</f>
        <v>0</v>
      </c>
      <c r="Q89" s="149"/>
      <c r="R89" s="172" t="str">
        <f>IF(R88="",0,IF($C$2&lt;(Q88+R88)-15,2,IF($C$2&lt;(Q88+R88),1,"0")))</f>
        <v>0</v>
      </c>
      <c r="S89" s="262"/>
      <c r="T89" s="171" t="str">
        <f>IF(T88="",0,IF($C$2&lt;(S88+T88)-15,2,IF($C$2&lt;(S88+T88),1,"0")))</f>
        <v>0</v>
      </c>
      <c r="U89" s="173"/>
      <c r="V89" s="146">
        <f>IF(V85 = "",0,IF($C$2&lt;(U85+V85)-15,2,IF($C$2&lt;(U85+V85),1,"0")))</f>
        <v>0</v>
      </c>
      <c r="W89" s="152"/>
      <c r="X89" s="146">
        <f>IF(X85 = "",0,IF($C$2&lt;(W85+X85)-15,2,IF($C$2&lt;(W85+X85),1,"0")))</f>
        <v>2</v>
      </c>
      <c r="Y89" s="147"/>
      <c r="Z89" s="146">
        <f>IF(Z85 = "",0,IF($C$2&lt;(Y85+Z85)-15,2,IF($C$2&lt;(Y85+Z85),1,"0")))</f>
        <v>2</v>
      </c>
      <c r="AA89" s="147"/>
      <c r="AB89" s="146">
        <f>IF(AB85 = "",0,IF($C$2&lt;(AA85+AB85)-15,2,IF($C$2&lt;(AA85+AB85),1,"0")))</f>
        <v>2</v>
      </c>
      <c r="AC89" s="147"/>
      <c r="AD89" s="146">
        <f>IF(AD85 = "",0,IF($C$2&lt;(AC85+AD85)-15,2,IF($C$2&lt;(AC85+AD85),1,"0")))</f>
        <v>2</v>
      </c>
      <c r="AE89" s="147"/>
      <c r="AF89" s="146">
        <f>IF(AF85 = "",0,IF($C$2&lt;(AE85+AF85)-15,2,IF($C$2&lt;(AE85+AF85),1,"0")))</f>
        <v>2</v>
      </c>
      <c r="AG89" s="147"/>
      <c r="AH89" s="146">
        <f>IF(AH85 = "",0,IF($C$2&lt;(AG85+AH85)-15,2,IF($C$2&lt;(AG85+AH85),1,"0")))</f>
        <v>2</v>
      </c>
      <c r="AI89" s="147"/>
      <c r="AJ89" s="146">
        <f>IF(AJ85 = "",0,IF($C$2&lt;(AI85+AJ85)-15,2,IF($C$2&lt;(AI85+AJ85),1,"0")))</f>
        <v>2</v>
      </c>
      <c r="AK89" s="147"/>
      <c r="AL89" s="171">
        <f>IF(AL85 = "",0,IF($C$2&lt;(AK85+AL85)-15,2,IF($C$2&lt;(AK85+AL85),1,"0")))</f>
        <v>0</v>
      </c>
      <c r="AM89" s="147"/>
      <c r="AN89" s="146" t="str">
        <f>IF(AN85 = "",0,IF($C$2&lt;(AM85+AN85)-15,2,IF($C$2&lt;(AM85+AN85),1,"0")))</f>
        <v>0</v>
      </c>
      <c r="AO89" s="150"/>
      <c r="AP89" s="146" t="str">
        <f>IF(AP88 = "",0,IF($C$2&lt;(AO85+AP88)-15,2,IF($C$2&lt;(AO85+AP88),1,"0")))</f>
        <v>0</v>
      </c>
      <c r="AQ89" s="150"/>
      <c r="AR89" s="146">
        <f>IF(AR88 = "",0,IF($C$2&lt;(AQ85+AR88)-15,2,IF($C$2&lt;(AQ85+AR88),1,"0")))</f>
        <v>1</v>
      </c>
      <c r="AS89" s="150"/>
      <c r="AT89" s="146" t="str">
        <f>IF(AT85 = "",0,IF($C$2&lt;(AS85+AT85)-15,2,IF($C$2&lt;(AS85+AT85),1,"0")))</f>
        <v>0</v>
      </c>
      <c r="AU89" s="150"/>
      <c r="AV89" s="171" t="str">
        <f>IF(AV85 = "",0,IF($C$2&lt;(AU85+AV85)-15,2,IF($C$2&lt;(AU85+AV85),1,"0")))</f>
        <v>#VALUE!</v>
      </c>
      <c r="AW89" s="154"/>
      <c r="AX89" s="146">
        <f>IF(AX85 = "",0,IF($C$2&lt;(AW85+AX85)-15,2,IF($C$2&lt;(AW85+AX85),1,"0")))</f>
        <v>2</v>
      </c>
      <c r="AY89" s="147"/>
      <c r="AZ89" s="146">
        <f>IF(AZ85 = "",0,IF($C$2&lt;(AY85+AZ85)-15,2,IF($C$2&lt;(AY85+AZ85),1,"0")))</f>
        <v>2</v>
      </c>
      <c r="BA89" s="147"/>
      <c r="BB89" s="146" t="str">
        <f>IF(BB85 = "",0,IF($C$2&lt;(BA85+BB85)-15,2,IF($C$2&lt;(BA85+BB85),1,"0")))</f>
        <v>0</v>
      </c>
      <c r="BC89" s="147"/>
      <c r="BD89" s="146" t="str">
        <f>IF(BD85 = "",0,IF($C$2&lt;(BC85+BD85)-15,2,IF($C$2&lt;(BC85+BD85),1,"0")))</f>
        <v>0</v>
      </c>
      <c r="BE89" s="147"/>
      <c r="BF89" s="146" t="str">
        <f>IF(BF85 = "",0,IF($C$2&lt;(BE85+BF85)-15,2,IF($C$2&lt;(BE85+BF85),1,"0")))</f>
        <v>0</v>
      </c>
      <c r="BG89" s="147"/>
      <c r="BH89" s="172">
        <f>IF(BH85 = "",0,IF($C$2&lt;(BG85+BH85)-15,2,IF($C$2&lt;(BG85+BH85),1,"0")))</f>
        <v>0</v>
      </c>
      <c r="BI89" s="173"/>
      <c r="BJ89" s="172">
        <f>IF(BJ85 = "",0,IF($C$2&lt;(BI85+BJ85)-15,2,IF($C$2&lt;(BI85+BJ85),1,"0")))</f>
        <v>0</v>
      </c>
      <c r="BK89" s="22"/>
    </row>
    <row r="90" ht="1.5" customHeight="1">
      <c r="A90" s="269">
        <v>8.0</v>
      </c>
      <c r="B90" s="104" t="s">
        <v>88</v>
      </c>
      <c r="C90" s="174"/>
      <c r="D90" s="106">
        <v>2.0</v>
      </c>
      <c r="E90" s="107">
        <v>1.0</v>
      </c>
      <c r="F90" s="184">
        <f>IF(E90=1,1.5,1)</f>
        <v>1.5</v>
      </c>
      <c r="G90" s="245"/>
      <c r="H90" s="255" t="s">
        <v>70</v>
      </c>
      <c r="I90" s="110">
        <v>1.0</v>
      </c>
      <c r="J90" s="111">
        <f>IF(OR(J92=1,J92=2),1,0)</f>
        <v>0</v>
      </c>
      <c r="K90" s="110">
        <v>1.0</v>
      </c>
      <c r="L90" s="175">
        <f>IF(OR(L92=1,L92=2),1,0)</f>
        <v>0</v>
      </c>
      <c r="M90" s="110">
        <v>1.0</v>
      </c>
      <c r="N90" s="112">
        <f>IF(OR(N92=1,N92=2),1,0)</f>
        <v>0</v>
      </c>
      <c r="O90" s="110">
        <v>1.0</v>
      </c>
      <c r="P90" s="111">
        <f>IF(OR(P92=1,P92=2),1,0)</f>
        <v>0</v>
      </c>
      <c r="Q90" s="110">
        <v>1.0</v>
      </c>
      <c r="R90" s="112">
        <f>IF(OR(R92=1,R92=2),1,0)</f>
        <v>0</v>
      </c>
      <c r="S90" s="264">
        <v>1.0</v>
      </c>
      <c r="T90" s="246">
        <f>IF(OR(T92=1,T92=2),1,0)</f>
        <v>0</v>
      </c>
      <c r="U90" s="121"/>
      <c r="V90" s="115"/>
      <c r="W90" s="116"/>
      <c r="X90" s="115"/>
      <c r="Y90" s="114"/>
      <c r="Z90" s="115"/>
      <c r="AA90" s="114"/>
      <c r="AB90" s="115"/>
      <c r="AC90" s="114"/>
      <c r="AD90" s="115"/>
      <c r="AE90" s="114"/>
      <c r="AF90" s="115"/>
      <c r="AG90" s="114"/>
      <c r="AH90" s="115"/>
      <c r="AI90" s="114"/>
      <c r="AJ90" s="115"/>
      <c r="AK90" s="114"/>
      <c r="AL90" s="119"/>
      <c r="AM90" s="120"/>
      <c r="AN90" s="115"/>
      <c r="AO90" s="114"/>
      <c r="AP90" s="115"/>
      <c r="AQ90" s="114"/>
      <c r="AR90" s="115"/>
      <c r="AS90" s="114"/>
      <c r="AT90" s="115"/>
      <c r="AU90" s="114"/>
      <c r="AV90" s="119"/>
      <c r="AW90" s="120"/>
      <c r="AX90" s="115"/>
      <c r="AY90" s="114"/>
      <c r="AZ90" s="115"/>
      <c r="BA90" s="114"/>
      <c r="BB90" s="115"/>
      <c r="BC90" s="114"/>
      <c r="BD90" s="115"/>
      <c r="BE90" s="114"/>
      <c r="BF90" s="115"/>
      <c r="BG90" s="114"/>
      <c r="BH90" s="117"/>
      <c r="BI90" s="121"/>
      <c r="BJ90" s="117"/>
      <c r="BK90" s="22"/>
    </row>
    <row r="91" ht="15.0" customHeight="1">
      <c r="A91" s="23"/>
      <c r="B91" s="24"/>
      <c r="C91" s="122" t="s">
        <v>89</v>
      </c>
      <c r="D91" s="24"/>
      <c r="E91" s="123"/>
      <c r="F91" s="26"/>
      <c r="G91" s="24"/>
      <c r="H91" s="124"/>
      <c r="I91" s="125">
        <f>IF($D90=1,I$8,IF($D90=2,I$9,I$10))</f>
        <v>92</v>
      </c>
      <c r="J91" s="162">
        <f t="array" ref="J91">MAX(IF((Main!$D$6:$D$798="ДПМУ")*(Main!$B$6:$B$798='Стан БГ'!C91)*(Main!$C$6:$C$798='Стан БГ'!H90),Main!$A$6:$A$798,0),L91,N91,P91,R91,T91,Date(2025,3,28))</f>
        <v>45744</v>
      </c>
      <c r="K91" s="127">
        <f>IF($D90=1,K$8,IF($D90=2,K$9,K$10))</f>
        <v>77</v>
      </c>
      <c r="L91" s="162">
        <f t="array" ref="L91">MAX(IF((Main!$D$6:$D$798="ДСМУ")*(Main!$B$6:$B$798='Стан БГ'!C91)*(Main!$C$6:$C$798='Стан БГ'!H90),Main!$A$6:$A$798,0),N91,R91,T91,Date(2025,2,4))</f>
        <v>45692</v>
      </c>
      <c r="M91" s="127">
        <f>IF($D90=1,M$8,IF($D90=2,M$9,M$10))</f>
        <v>61</v>
      </c>
      <c r="N91" s="129" t="str">
        <f t="array" ref="N91">IF(MAX(IF((Main!$D$6:$D$798="ДВМП")*(Main!$B$6:$B$798='Стан БГ'!C91)*(Main!$C$6:$C$798='Стан БГ'!H90),Main!$A$6:$A$798,0),T91,)&gt;0,MAX(IF((Main!$D$6:$D$798="ДВМП")*(Main!$B$6:$B$798='Стан БГ'!C91)*(Main!$C$6:$C$798='Стан БГ'!H90),Main!$A$6:$A$798,0),T91),"")</f>
        <v/>
      </c>
      <c r="O91" s="127">
        <f>IF($D90=1,O$8,IF($D90=2,O$9,O$10))</f>
        <v>77</v>
      </c>
      <c r="P91" s="162">
        <f t="array" ref="P91">MAX(IF((Main!$D$6:$D$798="НПМУ")*(Main!$B$6:$B$798='Стан БГ'!C91)*(Main!$C$6:$C$798='Стан БГ'!H90),Main!$A$6:$A$798,0),R91,T91,Date(2025,2,22))</f>
        <v>45710</v>
      </c>
      <c r="Q91" s="127">
        <f>IF($D90=1,Q$8,IF($D90=2,Q$9,Q$10))</f>
        <v>61</v>
      </c>
      <c r="R91" s="162" t="str">
        <f t="array" ref="R91">IF(MAX(IF((Main!$D$6:$D$798="НСМУ")*(Main!$B$6:$B$798='Стан БГ'!C91)*(Main!$C$6:$C$798='Стан БГ'!H90),Main!$A$6:$A$798,0),T91)&gt;0,MAX(IF((Main!$D$6:$D$798="НСМУ")*(Main!$B$6:$B$798='Стан БГ'!C91)*(Main!$C$6:$C$798='Стан БГ'!H90),Main!$A$6:$A$798,0),T91),"")</f>
        <v/>
      </c>
      <c r="S91" s="163">
        <f>IF($D90=1,S$8,IF($D90=2,S$9,S$10))</f>
        <v>46</v>
      </c>
      <c r="T91" s="129" t="str">
        <f t="array" ref="T91">IF(MAX(IF((Main!$D$6:$D$798="НВМП")*(Main!$B$6:$B$798='Стан БГ'!C91)*(Main!$C$6:$C$798='Стан БГ'!H90),Main!$A$6:$A$798,0))&gt;0,MAX(IF((Main!$D$6:$D$798="НВМП")*(Main!$B$6:$B$798='Стан БГ'!C91)*(Main!$C$6:$C$798='Стан БГ'!H90),Main!$A$6:$A$798,"")),"")</f>
        <v/>
      </c>
      <c r="U91" s="143">
        <f>IF($D90=1,U$8,IF($D90=2,U$9,IF($D90=3,U$10)))</f>
        <v>365</v>
      </c>
      <c r="V91" s="132">
        <v>45773.0</v>
      </c>
      <c r="W91" s="133">
        <f>IF($D90=1,W$8,IF($D90=2,W$9,IF($D90=3,W$10)))</f>
        <v>365</v>
      </c>
      <c r="X91" s="134">
        <v>45744.0</v>
      </c>
      <c r="Y91" s="135">
        <f>IF($D90=1,Y$8,IF($D90=2,Y$9,IF($D90=3,Y$10)))</f>
        <v>365</v>
      </c>
      <c r="Z91" s="134"/>
      <c r="AA91" s="135">
        <f>IF($D90=1,AA$8,IF($D90=2,AA$9,IF($D90=3,AA$10)))</f>
        <v>365</v>
      </c>
      <c r="AB91" s="134"/>
      <c r="AC91" s="135">
        <f>IF($D90=1,AC$8,IF($D90=2,AC$9,IF($D90=3,AC$10)))</f>
        <v>365</v>
      </c>
      <c r="AD91" s="134"/>
      <c r="AE91" s="135">
        <f>IF($D90=1,AE$8,IF($D90=2,AE$9,IF($D90=3,AE$10)))</f>
        <v>365</v>
      </c>
      <c r="AF91" s="134">
        <v>45693.0</v>
      </c>
      <c r="AG91" s="135">
        <f>IF($D90=1,AG$8,IF($D90=2,AG$9,IF($D90=3,AG$10)))</f>
        <v>365</v>
      </c>
      <c r="AH91" s="134">
        <v>45849.0</v>
      </c>
      <c r="AI91" s="135">
        <f>IF($D90=1,AI$8,IF($D90=2,AI$9,IF($D90=3,AI$10)))</f>
        <v>365</v>
      </c>
      <c r="AJ91" s="134">
        <v>45733.0</v>
      </c>
      <c r="AK91" s="135">
        <f>IF($D90=1,AK$8,IF($D90=2,AK$9,IF($D90=3,AK$10)))</f>
        <v>365</v>
      </c>
      <c r="AL91" s="178"/>
      <c r="AM91" s="141">
        <f>IF($D90=1,AM$8,IF($D90=2,AM$9,IF($D90=3,AM$10)))</f>
        <v>365</v>
      </c>
      <c r="AN91" s="134">
        <v>45650.0</v>
      </c>
      <c r="AO91" s="131">
        <f>IF($D90=1,AO$8,IF($D90=2,AO$9,IF($D90=3,AO$10)))</f>
        <v>184</v>
      </c>
      <c r="AP91" s="128">
        <v>45761.0</v>
      </c>
      <c r="AQ91" s="135">
        <f>IF($D90=1,AQ$8,IF($D90=2,AQ$9,IF($D90=3,AQ$10)))</f>
        <v>365</v>
      </c>
      <c r="AR91" s="128">
        <v>45553.0</v>
      </c>
      <c r="AS91" s="131">
        <f>IF($D90=1,AS$8,IF($D90=2,AS$9,IF($D90=3,AS$10)))</f>
        <v>365</v>
      </c>
      <c r="AT91" s="134">
        <v>45533.0</v>
      </c>
      <c r="AU91" s="135">
        <f>IF($D90=1,AU$8,IF($D90=2,AU$9,IF($D90=3,AU$10)))</f>
        <v>1095</v>
      </c>
      <c r="AV91" s="178">
        <v>45818.0</v>
      </c>
      <c r="AW91" s="179">
        <f>IF($D90=1,AW$8,IF($D90=2,AW$9,IF($D90=3,AW$10)))</f>
        <v>365</v>
      </c>
      <c r="AX91" s="134" t="str">
        <f t="array" ref="AX91">IF(MAX(IF((ISNUMBER(SEARCH("Складний пілотаж",Main!$M$6:$M$798)))*(Main!$B$6:$B$798='Стан БГ'!C91),Main!$A$6:$A$798,0))&gt;0,MAX(IF((ISNUMBER(SEARCH("Складний пілотаж",Main!$M$6:$M$798)))*(Main!$B$6:$B$798='Стан БГ'!C91),Main!$A$6:$A$798,0)),"")</f>
        <v/>
      </c>
      <c r="AY91" s="135">
        <f>IF($D90=1,AY$8,IF($D90=2,AY$9,IF($D90=3,AY$10)))</f>
        <v>365</v>
      </c>
      <c r="AZ91" s="134" t="str">
        <f t="array" ref="AZ91">IF(MAX(IF((ISNUMBER(SEARCH("Мала висота",Main!$M$6:$M$798)))*(Main!$B$6:$B$798='Стан БГ'!C91),Main!$A$6:$A$798,0))&gt;0,MAX(IF((ISNUMBER(SEARCH("Мала висота",Main!$M$6:$M$798)))*(Main!$B$6:$B$798='Стан БГ'!C91),Main!$A$6:$A$798,0)),"")</f>
        <v/>
      </c>
      <c r="BA91" s="135">
        <f>IF($D90=1,BA$8,IF($D90=2,BA$9,IF($D90=3,BA$10)))</f>
        <v>122</v>
      </c>
      <c r="BB91" s="134" t="str">
        <f t="array" ref="BB91">IF(MAX(IF((ISNUMBER(SEARCH("Гр. мала висота (ОНБ)",Main!$M$6:$M$798)))*(Main!$B$6:$B$798='Стан БГ'!C91),Main!$A$6:$A$798,0))&gt;0,MAX(IF((ISNUMBER(SEARCH("Гр. мала висота (ОНБ)",Main!$M$6:$M$798)))*(Main!$B$6:$B$798='Стан БГ'!C91),Main!$A$6:$A$798,0)),"")</f>
        <v/>
      </c>
      <c r="BC91" s="135">
        <f>IF($D90=1,BC$8,IF($D90=2,BC$9,IF($D90=3,BC$10)))</f>
        <v>184</v>
      </c>
      <c r="BD91" s="134" t="str">
        <f t="array" ref="BD91">IF(MAX(IF((ISNUMBER(SEARCH("Бойове застосування",Main!$M$6:$M$798)))*(Main!$B$6:$B$798='Стан БГ'!C91),Main!$A$6:$A$798,0))&gt;0,MAX(IF((ISNUMBER(SEARCH("Бойове застосування",Main!$M$6:$M$798)))*(Main!$B$6:$B$798='Стан БГ'!C91),Main!$A$6:$A$798,0)),"")</f>
        <v/>
      </c>
      <c r="BE91" s="135">
        <f>IF($D90=1,BE$8,IF($D90=2,BE$9,IF($D90=3,BE$10)))</f>
        <v>184</v>
      </c>
      <c r="BF91" s="134" t="str">
        <f t="array" ref="BF91">IF(MAX(IF((ISNUMBER(SEARCH("Групова злітаність",Main!$M$6:$M$798)))*(Main!$B$6:$B$798='Стан БГ'!C91),Main!$A$6:$A$798,0))&gt;0,MAX(IF((ISNUMBER(SEARCH("Групова злітаність",Main!$M$6:$M$798)))*(Main!$B$6:$B$798='Стан БГ'!C91),Main!$A$6:$A$798,0)),"")</f>
        <v/>
      </c>
      <c r="BG91" s="135">
        <f>IF($D90=1,BG$8,IF($D90=2,BG$9,IF($D90=3,BG$10)))</f>
        <v>365</v>
      </c>
      <c r="BH91" s="176" t="str">
        <f t="array" ref="BH91">IF(MAX(IF((ISNUMBER(SEARCH("На десантування",Main!$M$6:$M$798)))*(Main!$B$6:$B$798='Стан БГ'!C91),Main!$A$6:$A$798,0))&gt;0,MAX(IF((ISNUMBER(SEARCH("На десантування",Main!$M$6:$M$798)))*(Main!$B$6:$B$798='Стан БГ'!C91),Main!$A$6:$A$798,0)),"")</f>
        <v/>
      </c>
      <c r="BI91" s="143">
        <f>IF($D90=1,BI$8,IF($D90=2,BI$9,IF($D90=3,BI$10)))</f>
        <v>184</v>
      </c>
      <c r="BJ91" s="142"/>
      <c r="BK91" s="22"/>
    </row>
    <row r="92" ht="4.5" customHeight="1">
      <c r="A92" s="23"/>
      <c r="B92" s="24"/>
      <c r="C92" s="24"/>
      <c r="D92" s="24"/>
      <c r="E92" s="123"/>
      <c r="F92" s="26"/>
      <c r="G92" s="24"/>
      <c r="H92" s="144"/>
      <c r="I92" s="145">
        <f>IF(AND(J90=1,OR($G90="вп",$G90="вд",$G90="шп",$G90="оа")),1,0)</f>
        <v>0</v>
      </c>
      <c r="J92" s="146" t="str">
        <f>IF(J91="",0,IF($C$2&lt;(I91+J91)-15,2,IF($C$2&lt;(I91+J91),1,"0")))</f>
        <v>0</v>
      </c>
      <c r="K92" s="147"/>
      <c r="L92" s="148" t="str">
        <f>IF(L91="",0,IF($C$2&lt;(K91+L91)-15,2,IF($C$2&lt;(K91+L91),1,"0")))</f>
        <v>0</v>
      </c>
      <c r="M92" s="147"/>
      <c r="N92" s="146">
        <f>IF(N91="",0,IF($C$2&lt;(M91+N91)-15,2,IF($C$2&lt;(M91+N91),1,"0")))</f>
        <v>0</v>
      </c>
      <c r="O92" s="149"/>
      <c r="P92" s="146" t="str">
        <f>IF(P91="",0,IF($C$2&lt;(O91+P91)-15,2,IF($C$2&lt;(O91+P91),1,"0")))</f>
        <v>0</v>
      </c>
      <c r="Q92" s="149"/>
      <c r="R92" s="172">
        <f>IF(R91="",0,IF($C$2&lt;(Q91+R91)-15,2,IF($C$2&lt;(Q91+R91),1,"0")))</f>
        <v>0</v>
      </c>
      <c r="S92" s="262"/>
      <c r="T92" s="171">
        <f>IF(T91="",0,IF($C$2&lt;(S91+T91)-15,2,IF($C$2&lt;(S91+T91),1,"0")))</f>
        <v>0</v>
      </c>
      <c r="U92" s="155"/>
      <c r="V92" s="151"/>
      <c r="W92" s="152"/>
      <c r="X92" s="26"/>
      <c r="Y92" s="153"/>
      <c r="Z92" s="26"/>
      <c r="AA92" s="153"/>
      <c r="AB92" s="26"/>
      <c r="AC92" s="153"/>
      <c r="AD92" s="26"/>
      <c r="AE92" s="153"/>
      <c r="AF92" s="26"/>
      <c r="AG92" s="153"/>
      <c r="AH92" s="26"/>
      <c r="AI92" s="153"/>
      <c r="AJ92" s="26"/>
      <c r="AK92" s="153"/>
      <c r="AL92" s="33"/>
      <c r="AM92" s="154"/>
      <c r="AN92" s="26"/>
      <c r="AO92" s="150"/>
      <c r="AP92" s="146" t="str">
        <f>IF(AP91 = "",0,IF($C$2&lt;(AO91+AP91)-15,2,IF($C$2&lt;(AO91+AP91),1,"0")))</f>
        <v>0</v>
      </c>
      <c r="AQ92" s="150"/>
      <c r="AR92" s="146" t="str">
        <f>IF(AR91 = "",0,IF($C$2&lt;(AQ91+AR91)-15,2,IF($C$2&lt;(AQ91+AR91),1,"0")))</f>
        <v>0</v>
      </c>
      <c r="AS92" s="150"/>
      <c r="AT92" s="26"/>
      <c r="AU92" s="153"/>
      <c r="AV92" s="33"/>
      <c r="AW92" s="181"/>
      <c r="AX92" s="26"/>
      <c r="AY92" s="153"/>
      <c r="AZ92" s="26"/>
      <c r="BA92" s="153"/>
      <c r="BB92" s="26"/>
      <c r="BC92" s="153"/>
      <c r="BD92" s="26"/>
      <c r="BE92" s="153"/>
      <c r="BF92" s="26"/>
      <c r="BG92" s="153"/>
      <c r="BI92" s="155"/>
      <c r="BK92" s="22"/>
    </row>
    <row r="93" ht="1.5" customHeight="1">
      <c r="A93" s="23"/>
      <c r="B93" s="24"/>
      <c r="C93" s="24"/>
      <c r="D93" s="24"/>
      <c r="E93" s="123"/>
      <c r="F93" s="26"/>
      <c r="G93" s="24"/>
      <c r="H93" s="156" t="s">
        <v>53</v>
      </c>
      <c r="I93" s="110">
        <v>1.0</v>
      </c>
      <c r="J93" s="115">
        <f>IF(OR(J95=1,J95=2),1,0)</f>
        <v>0</v>
      </c>
      <c r="K93" s="110">
        <v>1.0</v>
      </c>
      <c r="L93" s="157">
        <f>IF(OR(L95=1,L95=2),1,0)</f>
        <v>0</v>
      </c>
      <c r="M93" s="110">
        <v>1.0</v>
      </c>
      <c r="N93" s="117">
        <f>IF(OR(N95=1,N95=2),1,0)</f>
        <v>0</v>
      </c>
      <c r="O93" s="110">
        <v>1.0</v>
      </c>
      <c r="P93" s="115">
        <f>IF(OR(P95=1,P95=2),1,0)</f>
        <v>0</v>
      </c>
      <c r="Q93" s="110">
        <v>1.0</v>
      </c>
      <c r="R93" s="117">
        <f>IF(OR(R95=1,R95=2),1,0)</f>
        <v>0</v>
      </c>
      <c r="S93" s="264">
        <v>1.0</v>
      </c>
      <c r="T93" s="119">
        <f>IF(OR(T95=1,T95=2),1,0)</f>
        <v>0</v>
      </c>
      <c r="U93" s="121"/>
      <c r="V93" s="151"/>
      <c r="W93" s="116"/>
      <c r="X93" s="26"/>
      <c r="Y93" s="159"/>
      <c r="Z93" s="26"/>
      <c r="AA93" s="159"/>
      <c r="AB93" s="26"/>
      <c r="AC93" s="159"/>
      <c r="AD93" s="26"/>
      <c r="AE93" s="159"/>
      <c r="AF93" s="26"/>
      <c r="AG93" s="159"/>
      <c r="AH93" s="26"/>
      <c r="AI93" s="159"/>
      <c r="AJ93" s="26"/>
      <c r="AK93" s="159"/>
      <c r="AL93" s="33"/>
      <c r="AM93" s="120"/>
      <c r="AN93" s="26"/>
      <c r="AO93" s="114"/>
      <c r="AP93" s="115"/>
      <c r="AQ93" s="114"/>
      <c r="AR93" s="115"/>
      <c r="AS93" s="114"/>
      <c r="AT93" s="26"/>
      <c r="AU93" s="159"/>
      <c r="AV93" s="33"/>
      <c r="AW93" s="183"/>
      <c r="AX93" s="26"/>
      <c r="AY93" s="159"/>
      <c r="AZ93" s="26"/>
      <c r="BA93" s="159"/>
      <c r="BB93" s="26"/>
      <c r="BC93" s="159"/>
      <c r="BD93" s="26"/>
      <c r="BE93" s="159"/>
      <c r="BF93" s="26"/>
      <c r="BG93" s="159"/>
      <c r="BI93" s="121"/>
      <c r="BK93" s="22"/>
    </row>
    <row r="94" ht="15.0" customHeight="1">
      <c r="A94" s="23"/>
      <c r="B94" s="24"/>
      <c r="C94" s="24"/>
      <c r="D94" s="24"/>
      <c r="E94" s="123"/>
      <c r="F94" s="26"/>
      <c r="G94" s="24"/>
      <c r="H94" s="124"/>
      <c r="I94" s="125">
        <f>I91</f>
        <v>92</v>
      </c>
      <c r="J94" s="128">
        <f t="array" ref="J94">MAX(IF((Main!$D$6:$D$798="ДПМУ")*(Main!$B$6:$B$798='Стан БГ'!C91)*(Main!$C$6:$C$798='Стан БГ'!H93),Main!$A$6:$A$798,0),L94,N94,P94,R94,T94,Date(2025,7,11))</f>
        <v>45849</v>
      </c>
      <c r="K94" s="161">
        <f>K91</f>
        <v>77</v>
      </c>
      <c r="L94" s="162" t="str">
        <f t="array" ref="L94">IF(MAX(IF((Main!$D$6:$D$798="ДСМУ")*(Main!$B$6:$B$798='Стан БГ'!C91)*(Main!$C$6:$C$798='Стан БГ'!H93),Main!$A$6:$A$798,0),N94,R94,T94)&gt;0,MAX(IF((Main!$D$6:$D$798="ДСМУ")*(Main!$B$6:$B$798='Стан БГ'!C91)*(Main!$C$6:$C$798='Стан БГ'!H93),Main!$A$6:$A$798,0),N94,R94,T94),"")</f>
        <v/>
      </c>
      <c r="M94" s="161">
        <f>M91</f>
        <v>61</v>
      </c>
      <c r="N94" s="162" t="str">
        <f t="array" ref="N94">IF(MAX(IF((Main!$D$6:$D$798="ДВМП")*(Main!$B$6:$B$798='Стан БГ'!C91)*(Main!$C$6:$C$798='Стан БГ'!H93),Main!$A$6:$A$798,0),T94)&gt;0,MAX(IF((Main!$D$6:$D$798="ДВМП")*(Main!$B$6:$B$798='Стан БГ'!C91)*(Main!$C$6:$C$798='Стан БГ'!H93),Main!$A$6:$A$798,0),T94),"")</f>
        <v/>
      </c>
      <c r="O94" s="163">
        <f>O91</f>
        <v>77</v>
      </c>
      <c r="P94" s="128">
        <f t="array" ref="P94">MAX(IF((Main!$D$6:$D$798="НПМУ")*(Main!$B$6:$B$798='Стан БГ'!C91)*(Main!$C$6:$C$798='Стан БГ'!H93),Main!$A$6:$A$798,0),R94,T94,Date(2025,4,17))</f>
        <v>45764</v>
      </c>
      <c r="Q94" s="161">
        <f>Q91</f>
        <v>61</v>
      </c>
      <c r="R94" s="162" t="str">
        <f t="array" ref="R94">IF(MAX(IF((Main!$D$6:$D$798="НСМУ")*(Main!$B$6:$B$798='Стан БГ'!C91)*(Main!$C$6:$C$798='Стан БГ'!H93),Main!$A$6:$A$798,0),T94)&gt;0,MAX(IF((Main!$D$6:$D$798="НСМУ")*(Main!$B$6:$B$798='Стан БГ'!C91)*(Main!$C$6:$C$798='Стан БГ'!H93),Main!$A$6:$A$798,0),T94),"")</f>
        <v/>
      </c>
      <c r="S94" s="163">
        <f>S91</f>
        <v>46</v>
      </c>
      <c r="T94" s="129" t="str">
        <f t="array" ref="T94">IF(MAX(IF((Main!$D$6:$D$798="НВМП")*(Main!$B$6:$B$798='Стан БГ'!C91)*(Main!$C$6:$C$798='Стан БГ'!H93),Main!$A$6:$A$798,0))&gt;0,MAX(IF((Main!$D$6:$D$798="НВМП")*(Main!$B$6:$B$798='Стан БГ'!C91)*(Main!$C$6:$C$798='Стан БГ'!H93),Main!$A$6:$A$798,0)),"")</f>
        <v/>
      </c>
      <c r="U94" s="143">
        <f>U91</f>
        <v>365</v>
      </c>
      <c r="V94" s="151"/>
      <c r="W94" s="133">
        <f>IF($D90=1,W$8,IF($D90=2,W$9,IF($D90=3,W$10)))</f>
        <v>365</v>
      </c>
      <c r="X94" s="26"/>
      <c r="Y94" s="135">
        <f>IF($D90=1,Y$8,IF($D90=2,Y$9,IF($D90=3,Y$10)))</f>
        <v>365</v>
      </c>
      <c r="Z94" s="26"/>
      <c r="AA94" s="135">
        <f>IF($D90=1,AA$8,IF($D90=2,AA$9,IF($D90=3,AA$10)))</f>
        <v>365</v>
      </c>
      <c r="AB94" s="26"/>
      <c r="AC94" s="135">
        <f>IF($D90=1,AC$8,IF($D90=2,AC$9,IF($D90=3,AC$10)))</f>
        <v>365</v>
      </c>
      <c r="AD94" s="26"/>
      <c r="AE94" s="135">
        <f>AE91</f>
        <v>365</v>
      </c>
      <c r="AF94" s="26"/>
      <c r="AG94" s="135">
        <f>AG91</f>
        <v>365</v>
      </c>
      <c r="AH94" s="26"/>
      <c r="AI94" s="135">
        <f>AI91</f>
        <v>365</v>
      </c>
      <c r="AJ94" s="26"/>
      <c r="AK94" s="135">
        <f>AK91</f>
        <v>365</v>
      </c>
      <c r="AL94" s="33"/>
      <c r="AM94" s="141">
        <f>AM91</f>
        <v>365</v>
      </c>
      <c r="AN94" s="26"/>
      <c r="AO94" s="131" t="b">
        <f>IF($D93=1,AO$8,IF($D93=2,AO$9,IF($D93=3,AO$10)))</f>
        <v>0</v>
      </c>
      <c r="AP94" s="128">
        <v>45761.0</v>
      </c>
      <c r="AQ94" s="135" t="b">
        <f>IF($D93=1,AQ$8,IF($D93=2,AQ$9,IF($D93=3,AQ$10)))</f>
        <v>0</v>
      </c>
      <c r="AR94" s="128">
        <v>45731.0</v>
      </c>
      <c r="AS94" s="131" t="b">
        <f>IF($D93=1,AS$8,IF($D93=2,AS$9,IF($D93=3,AS$10)))</f>
        <v>0</v>
      </c>
      <c r="AT94" s="26"/>
      <c r="AU94" s="135" t="b">
        <f>IF($D93=1,AU$8,IF($D93=2,AU$9,IF($D93=3,AU$10)))</f>
        <v>0</v>
      </c>
      <c r="AV94" s="33"/>
      <c r="AW94" s="179">
        <f>IF($D90=1,AW$8,IF($D90=2,AW$9,IF($D90=3,AW$10)))</f>
        <v>365</v>
      </c>
      <c r="AX94" s="26"/>
      <c r="AY94" s="135">
        <f>IF($D90=1,AY$8,IF($D90=2,AY$9,IF($D90=3,AY$10)))</f>
        <v>365</v>
      </c>
      <c r="AZ94" s="26"/>
      <c r="BA94" s="135">
        <f>IF($D90=1,BA$8,IF($D90=2,BA$9,IF($D90=3,BA$10)))</f>
        <v>122</v>
      </c>
      <c r="BB94" s="26"/>
      <c r="BC94" s="135">
        <f>IF($D90=1,BC$8,IF($D90=2,BC$9,IF($D90=3,BC$10)))</f>
        <v>184</v>
      </c>
      <c r="BD94" s="26"/>
      <c r="BE94" s="135">
        <f>BE91</f>
        <v>184</v>
      </c>
      <c r="BF94" s="26"/>
      <c r="BG94" s="135">
        <f>BG91</f>
        <v>365</v>
      </c>
      <c r="BI94" s="143">
        <f>BI91</f>
        <v>184</v>
      </c>
      <c r="BK94" s="22"/>
    </row>
    <row r="95" ht="4.5" customHeight="1">
      <c r="A95" s="59"/>
      <c r="B95" s="60"/>
      <c r="C95" s="167"/>
      <c r="D95" s="60"/>
      <c r="E95" s="168"/>
      <c r="F95" s="26"/>
      <c r="G95" s="60"/>
      <c r="H95" s="144"/>
      <c r="I95" s="145">
        <f>IF(AND(J90=1,OR($G90="вп",$G90="вд",$G90="шп",$G90="оа")),1,0)</f>
        <v>0</v>
      </c>
      <c r="J95" s="146" t="str">
        <f>IF(J94="",0,IF($C$2&lt;(I94+J94)-15,2,IF($C$2&lt;(I94+J94),1,"0")))</f>
        <v>0</v>
      </c>
      <c r="K95" s="147"/>
      <c r="L95" s="148">
        <f>IF(L94="",0,IF($C$2&lt;(K94+L94)-15,2,IF($C$2&lt;(K94+L94),1,"0")))</f>
        <v>0</v>
      </c>
      <c r="M95" s="147"/>
      <c r="N95" s="146">
        <f>IF(N94="",0,IF($C$2&lt;(M94+N94)-15,2,IF($C$2&lt;(M94+N94),1,"0")))</f>
        <v>0</v>
      </c>
      <c r="O95" s="149"/>
      <c r="P95" s="146" t="str">
        <f>IF(P94="",0,IF($C$2&lt;(O94+P94)-15,2,IF($C$2&lt;(O94+P94),1,"0")))</f>
        <v>0</v>
      </c>
      <c r="Q95" s="149"/>
      <c r="R95" s="172">
        <f>IF(R94="",0,IF($C$2&lt;(Q94+R94)-15,2,IF($C$2&lt;(Q94+R94),1,"0")))</f>
        <v>0</v>
      </c>
      <c r="S95" s="262"/>
      <c r="T95" s="171">
        <f>IF(T94="",0,IF($C$2&lt;(S94+T94)-15,2,IF($C$2&lt;(S94+T94),1,"0")))</f>
        <v>0</v>
      </c>
      <c r="U95" s="173"/>
      <c r="V95" s="146">
        <f>IF(V91 = "",0,IF($C$2&lt;(U91+V91)-15,2,IF($C$2&lt;(U91+V91),1,"0")))</f>
        <v>2</v>
      </c>
      <c r="W95" s="152"/>
      <c r="X95" s="146">
        <f>IF(X91 = "",0,IF($C$2&lt;(W91+X91)-15,2,IF($C$2&lt;(W91+X91),1,"0")))</f>
        <v>2</v>
      </c>
      <c r="Y95" s="147"/>
      <c r="Z95" s="146">
        <f>IF(Z91 = "",0,IF($C$2&lt;(Y91+Z91)-15,2,IF($C$2&lt;(Y91+Z91),1,"0")))</f>
        <v>0</v>
      </c>
      <c r="AA95" s="147"/>
      <c r="AB95" s="146">
        <f>IF(AB91 = "",0,IF($C$2&lt;(AA91+AB91)-15,2,IF($C$2&lt;(AA91+AB91),1,"0")))</f>
        <v>0</v>
      </c>
      <c r="AC95" s="147"/>
      <c r="AD95" s="146">
        <f>IF(AD91 = "",0,IF($C$2&lt;(AC91+AD91)-15,2,IF($C$2&lt;(AC91+AD91),1,"0")))</f>
        <v>0</v>
      </c>
      <c r="AE95" s="147"/>
      <c r="AF95" s="146" t="str">
        <f>IF(AF91 = "",0,IF($C$2&lt;(AE91+AF91)-15,2,IF($C$2&lt;(AE91+AF91),1,"0")))</f>
        <v>0</v>
      </c>
      <c r="AG95" s="147"/>
      <c r="AH95" s="146">
        <f>IF(AH91 = "",0,IF($C$2&lt;(AG91+AH91)-15,2,IF($C$2&lt;(AG91+AH91),1,"0")))</f>
        <v>2</v>
      </c>
      <c r="AI95" s="147"/>
      <c r="AJ95" s="146">
        <f>IF(AJ91 = "",0,IF($C$2&lt;(AI91+AJ91)-15,2,IF($C$2&lt;(AI91+AJ91),1,"0")))</f>
        <v>2</v>
      </c>
      <c r="AK95" s="147"/>
      <c r="AL95" s="171">
        <f>IF(AL91 = "",0,IF($C$2&lt;(AK91+AL91)-15,2,IF($C$2&lt;(AK91+AL91),1,"0")))</f>
        <v>0</v>
      </c>
      <c r="AM95" s="147"/>
      <c r="AN95" s="146" t="str">
        <f>IF(AN91 = "",0,IF($C$2&lt;(AM91+AN91)-15,2,IF($C$2&lt;(AM91+AN91),1,"0")))</f>
        <v>0</v>
      </c>
      <c r="AO95" s="150"/>
      <c r="AP95" s="146" t="str">
        <f>IF(AP94 = "",0,IF($C$2&lt;(AO91+AP94)-15,2,IF($C$2&lt;(AO91+AP94),1,"0")))</f>
        <v>0</v>
      </c>
      <c r="AQ95" s="150"/>
      <c r="AR95" s="146">
        <f>IF(AR94 = "",0,IF($C$2&lt;(AQ91+AR94)-15,2,IF($C$2&lt;(AQ91+AR94),1,"0")))</f>
        <v>2</v>
      </c>
      <c r="AS95" s="150"/>
      <c r="AT95" s="146" t="str">
        <f>IF(AT91 = "",0,IF($C$2&lt;(AS91+AT91)-15,2,IF($C$2&lt;(AS91+AT91),1,"0")))</f>
        <v>0</v>
      </c>
      <c r="AU95" s="150"/>
      <c r="AV95" s="171">
        <f>IF(AV91 = "",0,IF($C$2&lt;(AU91+AV91)-15,2,IF($C$2&lt;(AU91+AV91),1,"0")))</f>
        <v>2</v>
      </c>
      <c r="AW95" s="154"/>
      <c r="AX95" s="146">
        <f>IF(AX91 = "",0,IF($C$2&lt;(AW91+AX91)-15,2,IF($C$2&lt;(AW91+AX91),1,"0")))</f>
        <v>0</v>
      </c>
      <c r="AY95" s="147"/>
      <c r="AZ95" s="146">
        <f>IF(AZ91 = "",0,IF($C$2&lt;(AY91+AZ91)-15,2,IF($C$2&lt;(AY91+AZ91),1,"0")))</f>
        <v>0</v>
      </c>
      <c r="BA95" s="147"/>
      <c r="BB95" s="146">
        <f>IF(BB91 = "",0,IF($C$2&lt;(BA91+BB91)-15,2,IF($C$2&lt;(BA91+BB91),1,"0")))</f>
        <v>0</v>
      </c>
      <c r="BC95" s="147"/>
      <c r="BD95" s="146">
        <f>IF(BD91 = "",0,IF($C$2&lt;(BC91+BD91)-15,2,IF($C$2&lt;(BC91+BD91),1,"0")))</f>
        <v>0</v>
      </c>
      <c r="BE95" s="147"/>
      <c r="BF95" s="146">
        <f>IF(BF91 = "",0,IF($C$2&lt;(BE91+BF91)-15,2,IF($C$2&lt;(BE91+BF91),1,"0")))</f>
        <v>0</v>
      </c>
      <c r="BG95" s="147"/>
      <c r="BH95" s="172">
        <f>IF(BH91 = "",0,IF($C$2&lt;(BG91+BH91)-15,2,IF($C$2&lt;(BG91+BH91),1,"0")))</f>
        <v>0</v>
      </c>
      <c r="BI95" s="173"/>
      <c r="BJ95" s="172">
        <f>IF(BJ91 = "",0,IF($C$2&lt;(BI91+BJ91)-15,2,IF($C$2&lt;(BI91+BJ91),1,"0")))</f>
        <v>0</v>
      </c>
      <c r="BK95" s="22"/>
    </row>
    <row r="96" ht="1.5" customHeight="1">
      <c r="A96" s="269">
        <v>9.0</v>
      </c>
      <c r="B96" s="104" t="s">
        <v>90</v>
      </c>
      <c r="C96" s="174"/>
      <c r="D96" s="106">
        <v>3.0</v>
      </c>
      <c r="E96" s="107">
        <v>1.0</v>
      </c>
      <c r="F96" s="276">
        <v>3.0</v>
      </c>
      <c r="G96" s="245"/>
      <c r="H96" s="255" t="s">
        <v>70</v>
      </c>
      <c r="I96" s="110">
        <v>1.0</v>
      </c>
      <c r="J96" s="111">
        <f>IF(OR(J98=1,J98=2),1,0)</f>
        <v>0</v>
      </c>
      <c r="K96" s="110">
        <v>1.0</v>
      </c>
      <c r="L96" s="175">
        <f>IF(OR(L98=1,L98=2),1,0)</f>
        <v>0</v>
      </c>
      <c r="M96" s="110">
        <v>1.0</v>
      </c>
      <c r="N96" s="112">
        <f>IF(OR(N98=1,N98=2),1,0)</f>
        <v>0</v>
      </c>
      <c r="O96" s="110">
        <v>1.0</v>
      </c>
      <c r="P96" s="111">
        <f>IF(OR(P98=1,P98=2),1,0)</f>
        <v>0</v>
      </c>
      <c r="Q96" s="110">
        <v>1.0</v>
      </c>
      <c r="R96" s="112">
        <f>IF(OR(R98=1,R98=2),1,0)</f>
        <v>0</v>
      </c>
      <c r="S96" s="264">
        <v>1.0</v>
      </c>
      <c r="T96" s="246">
        <f>IF(OR(T98=1,T98=2),1,0)</f>
        <v>0</v>
      </c>
      <c r="U96" s="121"/>
      <c r="V96" s="115"/>
      <c r="W96" s="116"/>
      <c r="X96" s="115"/>
      <c r="Y96" s="114"/>
      <c r="Z96" s="115"/>
      <c r="AA96" s="114"/>
      <c r="AB96" s="115"/>
      <c r="AC96" s="114"/>
      <c r="AD96" s="115"/>
      <c r="AE96" s="114"/>
      <c r="AF96" s="115"/>
      <c r="AG96" s="114"/>
      <c r="AH96" s="115"/>
      <c r="AI96" s="114"/>
      <c r="AJ96" s="115"/>
      <c r="AK96" s="114"/>
      <c r="AL96" s="119"/>
      <c r="AM96" s="120"/>
      <c r="AN96" s="115"/>
      <c r="AO96" s="114"/>
      <c r="AP96" s="115"/>
      <c r="AQ96" s="114"/>
      <c r="AR96" s="115"/>
      <c r="AS96" s="114"/>
      <c r="AT96" s="115"/>
      <c r="AU96" s="114"/>
      <c r="AV96" s="119"/>
      <c r="AW96" s="120"/>
      <c r="AX96" s="115"/>
      <c r="AY96" s="114"/>
      <c r="AZ96" s="115"/>
      <c r="BA96" s="114"/>
      <c r="BB96" s="115"/>
      <c r="BC96" s="114"/>
      <c r="BD96" s="115"/>
      <c r="BE96" s="114"/>
      <c r="BF96" s="115"/>
      <c r="BG96" s="114"/>
      <c r="BH96" s="117"/>
      <c r="BI96" s="121"/>
      <c r="BJ96" s="117"/>
      <c r="BK96" s="22"/>
    </row>
    <row r="97" ht="16.5" customHeight="1">
      <c r="A97" s="23"/>
      <c r="B97" s="24"/>
      <c r="C97" s="122" t="s">
        <v>91</v>
      </c>
      <c r="D97" s="24"/>
      <c r="E97" s="123"/>
      <c r="F97" s="26"/>
      <c r="G97" s="24"/>
      <c r="H97" s="124"/>
      <c r="I97" s="125">
        <f>IF($D96=1,I$8,IF($D96=2,I$9,I$10))</f>
        <v>76</v>
      </c>
      <c r="J97" s="162">
        <f t="array" ref="J97">MAX(IF((Main!$D$6:$D$798="ДПМУ")*(Main!$B$6:$B$798='Стан БГ'!C97)*(Main!$C$6:$C$798='Стан БГ'!H96),Main!$A$6:$A$798,0),L97,N97,P97,R97,T97,Date(2025,7,10))</f>
        <v>45848</v>
      </c>
      <c r="K97" s="127">
        <f>IF($D96=1,K$8,IF($D96=2,K$9,K$10))</f>
        <v>61</v>
      </c>
      <c r="L97" s="128" t="str">
        <f t="array" ref="L97">IF(MAX(IF((Main!$D$6:$D$798="ДСМУ")*(Main!$B$6:$B$798='Стан БГ'!C97)*(Main!$C$6:$C$798='Стан БГ'!H96),Main!$A$6:$A$798,0),N97,R97,T97)&gt;0,MAX(IF((Main!$D$6:$D$798="ДСМУ")*(Main!$B$6:$B$798='Стан БГ'!C97)*(Main!$C$6:$C$798='Стан БГ'!H96),Main!$A$6:$A$798,0),N97,R97,T97),"")</f>
        <v/>
      </c>
      <c r="M97" s="127">
        <f>IF($D96=1,M$8,IF($D96=2,M$9,M$10))</f>
        <v>46</v>
      </c>
      <c r="N97" s="129" t="str">
        <f t="array" ref="N97">IF(MAX(IF((Main!$D$6:$D$798="ДВМП")*(Main!$B$6:$B$798='Стан БГ'!C97)*(Main!$C$6:$C$798='Стан БГ'!H96),Main!$A$6:$A$798,0),T97)&gt;0,MAX(IF((Main!$D$6:$D$798="ДВМП")*(Main!$B$6:$B$798='Стан БГ'!C97)*(Main!$C$6:$C$798='Стан БГ'!H96),Main!$A$6:$A$798,0),T97),"")</f>
        <v/>
      </c>
      <c r="O97" s="127">
        <f>IF($D96=1,O$8,IF($D96=2,O$9,O$10))</f>
        <v>61</v>
      </c>
      <c r="P97" s="162">
        <f t="array" ref="P97">MAX(IF((Main!$D$6:$D$798="НПМУ")*(Main!$B$6:$B$798='Стан БГ'!C97)*(Main!$C$6:$C$798='Стан БГ'!H96),Main!$A$6:$A$798,0),R97,T97,Date(2025,4,17))</f>
        <v>45764</v>
      </c>
      <c r="Q97" s="127">
        <f>IF($D96=1,Q$8,IF($D96=2,Q$9,Q$10))</f>
        <v>46</v>
      </c>
      <c r="R97" s="162" t="str">
        <f t="array" ref="R97">IF(MAX(IF((Main!$D$6:$D$798="НСМУ")*(Main!$B$6:$B$798='Стан БГ'!C97)*(Main!$C$6:$C$798='Стан БГ'!H96),Main!$A$6:$A$798,0),T97)&gt;0,MAX(IF((Main!$D$6:$D$798="НСМУ")*(Main!$B$6:$B$798='Стан БГ'!C97)*(Main!$C$6:$C$798='Стан БГ'!H96),Main!$A$6:$A$798,0),T97),"")</f>
        <v/>
      </c>
      <c r="S97" s="163">
        <f>IF($D96=1,S$8,IF($D96=2,S$9,S$10))</f>
        <v>30</v>
      </c>
      <c r="T97" s="129" t="str">
        <f t="array" ref="T97">IF(MAX(IF((Main!$D$6:$D$798="НВМП")*(Main!$B$6:$B$798='Стан БГ'!C97)*(Main!$C$6:$C$798='Стан БГ'!H96),Main!$A$6:$A$798,0))&gt;0,MAX(IF((Main!$D$6:$D$798="НВМП")*(Main!$B$6:$B$798='Стан БГ'!C97)*(Main!$C$6:$C$798='Стан БГ'!H96),Main!$A$6:$A$798,0)),"")</f>
        <v/>
      </c>
      <c r="U97" s="143">
        <f>IF($D96=1,U$8,IF($D96=2,U$9,IF($D96=3,U$10)))</f>
        <v>365</v>
      </c>
      <c r="V97" s="132">
        <v>45324.0</v>
      </c>
      <c r="W97" s="133">
        <f>IF($D96=1,W$8,IF($D96=2,W$9,IF($D96=3,W$10)))</f>
        <v>365</v>
      </c>
      <c r="X97" s="134"/>
      <c r="Y97" s="135">
        <f>IF($D96=1,Y$8,IF($D96=2,Y$9,IF($D96=3,Y$10)))</f>
        <v>365</v>
      </c>
      <c r="Z97" s="134"/>
      <c r="AA97" s="135">
        <f>IF($D96=1,AA$8,IF($D96=2,AA$9,IF($D96=3,AA$10)))</f>
        <v>365</v>
      </c>
      <c r="AB97" s="134"/>
      <c r="AC97" s="135">
        <f>IF($D96=1,AC$8,IF($D96=2,AC$9,IF($D96=3,AC$10)))</f>
        <v>365</v>
      </c>
      <c r="AD97" s="134"/>
      <c r="AE97" s="135">
        <f>IF($D96=1,AE$8,IF($D96=2,AE$9,IF($D96=3,AE$10)))</f>
        <v>365</v>
      </c>
      <c r="AF97" s="134"/>
      <c r="AG97" s="135">
        <f>IF($D96=1,AG$8,IF($D96=2,AG$9,IF($D96=3,AG$10)))</f>
        <v>365</v>
      </c>
      <c r="AH97" s="134"/>
      <c r="AI97" s="135">
        <f>IF($D96=1,AI$8,IF($D96=2,AI$9,IF($D96=3,AI$10)))</f>
        <v>365</v>
      </c>
      <c r="AJ97" s="134"/>
      <c r="AK97" s="135">
        <f>IF($D96=1,AK$8,IF($D96=2,AK$9,IF($D96=3,AK$10)))</f>
        <v>365</v>
      </c>
      <c r="AL97" s="178">
        <v>45733.0</v>
      </c>
      <c r="AM97" s="141">
        <f>IF($D96=1,AM$8,IF($D96=2,AM$9,IF($D96=3,AM$10)))</f>
        <v>365</v>
      </c>
      <c r="AN97" s="134">
        <v>45653.0</v>
      </c>
      <c r="AO97" s="131">
        <f>IF($D96=1,AO$8,IF($D96=2,AO$9,IF($D96=3,AO$10)))</f>
        <v>184</v>
      </c>
      <c r="AP97" s="128">
        <v>45737.0</v>
      </c>
      <c r="AQ97" s="135">
        <f>IF($D96=1,AQ$8,IF($D96=2,AQ$9,IF($D96=3,AQ$10)))</f>
        <v>365</v>
      </c>
      <c r="AR97" s="128">
        <v>45855.0</v>
      </c>
      <c r="AS97" s="131">
        <f>IF($D96=1,AS$8,IF($D96=2,AS$9,IF($D96=3,AS$10)))</f>
        <v>365</v>
      </c>
      <c r="AT97" s="134">
        <v>45757.0</v>
      </c>
      <c r="AU97" s="135">
        <f>IF($D96=1,AU$8,IF($D96=2,AU$9,IF($D96=3,AU$10)))</f>
        <v>1095</v>
      </c>
      <c r="AV97" s="178" t="s">
        <v>65</v>
      </c>
      <c r="AW97" s="179">
        <f>IF($D96=1,AW$8,IF($D96=2,AW$9,IF($D96=3,AW$10)))</f>
        <v>365</v>
      </c>
      <c r="AX97" s="134" t="str">
        <f t="array" ref="AX97">IF(MAX(IF((ISNUMBER(SEARCH("Складний пілотаж",Main!$M$6:$M$798)))*(Main!$B$6:$B$798='Стан БГ'!C97),Main!$A$6:$A$798,0))&gt;0,MAX(IF((ISNUMBER(SEARCH("Складний пілотаж",Main!$M$6:$M$798)))*(Main!$B$6:$B$798='Стан БГ'!C97),Main!$A$6:$A$798,0)),"")</f>
        <v/>
      </c>
      <c r="AY97" s="135">
        <f>IF($D96=1,AY$8,IF($D96=2,AY$9,IF($D96=3,AY$10)))</f>
        <v>365</v>
      </c>
      <c r="AZ97" s="134" t="str">
        <f t="array" ref="AZ97">IF(MAX(IF((ISNUMBER(SEARCH("Мала висота",Main!$M$6:$M$798)))*(Main!$B$6:$B$798='Стан БГ'!C97),Main!$A$6:$A$798,0))&gt;0,MAX(IF((ISNUMBER(SEARCH("Мала висота",Main!$M$6:$M$798)))*(Main!$B$6:$B$798='Стан БГ'!C97),Main!$A$6:$A$798,0)),"")</f>
        <v/>
      </c>
      <c r="BA97" s="135">
        <f>IF($D96=1,BA$8,IF($D96=2,BA$9,IF($D96=3,BA$10)))</f>
        <v>122</v>
      </c>
      <c r="BB97" s="134" t="str">
        <f t="array" ref="BB97">IF(MAX(IF((ISNUMBER(SEARCH("Гр. мала висота (ОНБ)",Main!$M$6:$M$798)))*(Main!$B$6:$B$798='Стан БГ'!C97),Main!$A$6:$A$798,0))&gt;0,MAX(IF((ISNUMBER(SEARCH("Гр. мала висота (ОНБ)",Main!$M$6:$M$798)))*(Main!$B$6:$B$798='Стан БГ'!C97),Main!$A$6:$A$798,0)),"")</f>
        <v/>
      </c>
      <c r="BC97" s="135">
        <f>IF($D96=1,BC$8,IF($D96=2,BC$9,IF($D96=3,BC$10)))</f>
        <v>184</v>
      </c>
      <c r="BD97" s="134" t="str">
        <f t="array" ref="BD97">IF(MAX(IF((ISNUMBER(SEARCH("Бойове застосування",Main!$M$6:$M$798)))*(Main!$B$6:$B$798='Стан БГ'!C97),Main!$A$6:$A$798,0))&gt;0,MAX(IF((ISNUMBER(SEARCH("Бойове застосування",Main!$M$6:$M$798)))*(Main!$B$6:$B$798='Стан БГ'!C97),Main!$A$6:$A$798,0)),"")</f>
        <v/>
      </c>
      <c r="BE97" s="135">
        <f>IF($D96=1,BE$8,IF($D96=2,BE$9,IF($D96=3,BE$10)))</f>
        <v>184</v>
      </c>
      <c r="BF97" s="134" t="str">
        <f t="array" ref="BF97">IF(MAX(IF((ISNUMBER(SEARCH("Групова злітаність",Main!$M$6:$M$798)))*(Main!$B$6:$B$798='Стан БГ'!C97),Main!$A$6:$A$798,0))&gt;0,MAX(IF((ISNUMBER(SEARCH("Групова злітаність",Main!$M$6:$M$798)))*(Main!$B$6:$B$798='Стан БГ'!C97),Main!$A$6:$A$798,0)),"")</f>
        <v/>
      </c>
      <c r="BG97" s="135">
        <f>IF($D96=1,BG$8,IF($D96=2,BG$9,IF($D96=3,BG$10)))</f>
        <v>365</v>
      </c>
      <c r="BH97" s="176" t="str">
        <f t="array" ref="BH97">IF(MAX(IF((ISNUMBER(SEARCH("На десантування",Main!$M$6:$M$798)))*(Main!$B$6:$B$798='Стан БГ'!C97),Main!$A$6:$A$798,0))&gt;0,MAX(IF((ISNUMBER(SEARCH("На десантування",Main!$M$6:$M$798)))*(Main!$B$6:$B$798='Стан БГ'!C97),Main!$A$6:$A$798,0)),"")</f>
        <v/>
      </c>
      <c r="BI97" s="143">
        <f>IF($D96=1,BI$8,IF($D96=2,BI$9,IF($D96=3,BI$10)))</f>
        <v>184</v>
      </c>
      <c r="BJ97" s="142"/>
      <c r="BK97" s="22"/>
    </row>
    <row r="98" ht="4.5" customHeight="1">
      <c r="A98" s="23"/>
      <c r="B98" s="24"/>
      <c r="C98" s="24"/>
      <c r="D98" s="24"/>
      <c r="E98" s="123"/>
      <c r="F98" s="26"/>
      <c r="G98" s="24"/>
      <c r="H98" s="144"/>
      <c r="I98" s="145">
        <f>IF(AND(J96=1,OR($G96="вп",$G96="вд",$G96="шп",$G96="оа")),1,0)</f>
        <v>0</v>
      </c>
      <c r="J98" s="146" t="str">
        <f>IF(J97="",0,IF($C$2&lt;(I97+J97)-15,2,IF($C$2&lt;(I97+J97),1,"0")))</f>
        <v>0</v>
      </c>
      <c r="K98" s="147"/>
      <c r="L98" s="148">
        <f>IF(L97="",0,IF($C$2&lt;(K97+L97)-15,2,IF($C$2&lt;(K97+L97),1,"0")))</f>
        <v>0</v>
      </c>
      <c r="M98" s="147"/>
      <c r="N98" s="146">
        <f>IF(N97="",0,IF($C$2&lt;(M97+N97)-15,2,IF($C$2&lt;(M97+N97),1,"0")))</f>
        <v>0</v>
      </c>
      <c r="O98" s="149"/>
      <c r="P98" s="146" t="str">
        <f>IF(P97="",0,IF($C$2&lt;(O97+P97)-15,2,IF($C$2&lt;(O97+P97),1,"0")))</f>
        <v>0</v>
      </c>
      <c r="Q98" s="149"/>
      <c r="R98" s="172">
        <f>IF(R97="",0,IF($C$2&lt;(Q97+R97)-15,2,IF($C$2&lt;(Q97+R97),1,"0")))</f>
        <v>0</v>
      </c>
      <c r="S98" s="262"/>
      <c r="T98" s="171">
        <f>IF(T97="",0,IF($C$2&lt;(S97+T97)-15,2,IF($C$2&lt;(S97+T97),1,"0")))</f>
        <v>0</v>
      </c>
      <c r="U98" s="155"/>
      <c r="V98" s="151"/>
      <c r="W98" s="152"/>
      <c r="X98" s="26"/>
      <c r="Y98" s="153"/>
      <c r="Z98" s="26"/>
      <c r="AA98" s="153"/>
      <c r="AB98" s="26"/>
      <c r="AC98" s="153"/>
      <c r="AD98" s="26"/>
      <c r="AE98" s="153"/>
      <c r="AF98" s="26"/>
      <c r="AG98" s="153"/>
      <c r="AH98" s="26"/>
      <c r="AI98" s="153"/>
      <c r="AJ98" s="26"/>
      <c r="AK98" s="153"/>
      <c r="AL98" s="33"/>
      <c r="AM98" s="154"/>
      <c r="AN98" s="26"/>
      <c r="AO98" s="150"/>
      <c r="AP98" s="146" t="str">
        <f>IF(AP97 = "",0,IF($C$2&lt;(AO97+AP97)-15,2,IF($C$2&lt;(AO97+AP97),1,"0")))</f>
        <v>0</v>
      </c>
      <c r="AQ98" s="150"/>
      <c r="AR98" s="146">
        <f>IF(AR97 = "",0,IF($C$2&lt;(AQ97+AR97)-15,2,IF($C$2&lt;(AQ97+AR97),1,"0")))</f>
        <v>2</v>
      </c>
      <c r="AS98" s="150"/>
      <c r="AT98" s="26"/>
      <c r="AU98" s="153"/>
      <c r="AV98" s="33"/>
      <c r="AW98" s="181"/>
      <c r="AX98" s="26"/>
      <c r="AY98" s="153"/>
      <c r="AZ98" s="26"/>
      <c r="BA98" s="153"/>
      <c r="BB98" s="26"/>
      <c r="BC98" s="153"/>
      <c r="BD98" s="26"/>
      <c r="BE98" s="153"/>
      <c r="BF98" s="26"/>
      <c r="BG98" s="153"/>
      <c r="BI98" s="155"/>
      <c r="BK98" s="22"/>
    </row>
    <row r="99" ht="1.5" customHeight="1">
      <c r="A99" s="23"/>
      <c r="B99" s="24"/>
      <c r="C99" s="24"/>
      <c r="D99" s="24"/>
      <c r="E99" s="123"/>
      <c r="F99" s="26"/>
      <c r="G99" s="24"/>
      <c r="H99" s="263" t="s">
        <v>85</v>
      </c>
      <c r="I99" s="110">
        <v>1.0</v>
      </c>
      <c r="J99" s="115">
        <f>IF(OR(J101=1,J101=2),1,0)</f>
        <v>0</v>
      </c>
      <c r="K99" s="110">
        <v>1.0</v>
      </c>
      <c r="L99" s="157">
        <f>IF(OR(L101=1,L101=2),1,0)</f>
        <v>0</v>
      </c>
      <c r="M99" s="110">
        <v>1.0</v>
      </c>
      <c r="N99" s="117">
        <f>IF(OR(N101=1,N101=2),1,0)</f>
        <v>0</v>
      </c>
      <c r="O99" s="110">
        <v>1.0</v>
      </c>
      <c r="P99" s="115">
        <f>IF(OR(P101=1,P101=2),1,0)</f>
        <v>0</v>
      </c>
      <c r="Q99" s="110">
        <v>1.0</v>
      </c>
      <c r="R99" s="117">
        <f>IF(OR(R101=1,R101=2),1,0)</f>
        <v>0</v>
      </c>
      <c r="S99" s="264">
        <v>1.0</v>
      </c>
      <c r="T99" s="119">
        <f>IF(OR(T101=1,T101=2),1,0)</f>
        <v>0</v>
      </c>
      <c r="U99" s="121"/>
      <c r="V99" s="151"/>
      <c r="W99" s="116"/>
      <c r="X99" s="26"/>
      <c r="Y99" s="159"/>
      <c r="Z99" s="26"/>
      <c r="AA99" s="159"/>
      <c r="AB99" s="26"/>
      <c r="AC99" s="159"/>
      <c r="AD99" s="26"/>
      <c r="AE99" s="159"/>
      <c r="AF99" s="26"/>
      <c r="AG99" s="159"/>
      <c r="AH99" s="26"/>
      <c r="AI99" s="159"/>
      <c r="AJ99" s="26"/>
      <c r="AK99" s="159"/>
      <c r="AL99" s="33"/>
      <c r="AM99" s="120"/>
      <c r="AN99" s="26"/>
      <c r="AO99" s="114"/>
      <c r="AP99" s="115"/>
      <c r="AQ99" s="114"/>
      <c r="AR99" s="115"/>
      <c r="AS99" s="114"/>
      <c r="AT99" s="26"/>
      <c r="AU99" s="159"/>
      <c r="AV99" s="33"/>
      <c r="AW99" s="183"/>
      <c r="AX99" s="26"/>
      <c r="AY99" s="159"/>
      <c r="AZ99" s="26"/>
      <c r="BA99" s="159"/>
      <c r="BB99" s="26"/>
      <c r="BC99" s="159"/>
      <c r="BD99" s="26"/>
      <c r="BE99" s="159"/>
      <c r="BF99" s="26"/>
      <c r="BG99" s="159"/>
      <c r="BI99" s="121"/>
      <c r="BK99" s="22"/>
    </row>
    <row r="100" ht="15.75" customHeight="1">
      <c r="A100" s="23"/>
      <c r="B100" s="24"/>
      <c r="C100" s="24"/>
      <c r="D100" s="24"/>
      <c r="E100" s="123"/>
      <c r="F100" s="26"/>
      <c r="G100" s="24"/>
      <c r="H100" s="124"/>
      <c r="I100" s="125">
        <f>I97</f>
        <v>76</v>
      </c>
      <c r="J100" s="162">
        <f t="array" ref="J100">IF(MAX(IF((Main!$D$6:$D$798="ДПМУ")*(Main!$B$6:$B$798='Стан БГ'!C97)*(Main!$C$6:$C$798='Стан БГ'!H99),Main!$A$6:$A$798,0),L100,N100,P100,R100,T100,Date(2025,2,25))&gt;0,MAX(IF((Main!$D$6:$D$798="ДПМУ")*(Main!$B$6:$B$798='Стан БГ'!C97)*(Main!$C$6:$C$798='Стан БГ'!H99),Main!$A$6:$A$798,0),,L100,N100,P100,R100,T100,Date(2025,2,25)),"")</f>
        <v>45713</v>
      </c>
      <c r="K100" s="161">
        <f>K97</f>
        <v>61</v>
      </c>
      <c r="L100" s="162" t="str">
        <f t="array" ref="L100">IF(MAX(IF((Main!$D$6:$D$798="ДСМУ")*(Main!$B$6:$B$798='Стан БГ'!C97)*(Main!$C$6:$C$798='Стан БГ'!H99),Main!$A$6:$A$798,0),N100,R100,T100)&gt;0,MAX(IF((Main!$D$6:$D$798="ДСМУ")*(Main!$B$6:$B$798='Стан БГ'!C97)*(Main!$C$6:$C$798='Стан БГ'!H99),Main!$A$6:$A$798,0),N100,R100,T100),"")</f>
        <v/>
      </c>
      <c r="M100" s="161">
        <f>M97</f>
        <v>46</v>
      </c>
      <c r="N100" s="162" t="str">
        <f t="array" ref="N100">IF(MAX(IF((Main!$D$6:$D$798="ДВМП")*(Main!$B$6:$B$798='Стан БГ'!C97)*(Main!$C$6:$C$798='Стан БГ'!H99),Main!$A$6:$A$798,0),T100)&gt;0,MAX(IF((Main!$D$6:$D$798="ДВМП")*(Main!$B$6:$B$798='Стан БГ'!C97)*(Main!$C$6:$C$798='Стан БГ'!H99),Main!$A$6:$A$798,0),T100),"")</f>
        <v/>
      </c>
      <c r="O100" s="163">
        <f>O97</f>
        <v>61</v>
      </c>
      <c r="P100" s="128" t="str">
        <f t="array" ref="P100">IF(MAX(IF((Main!$D$6:$D$798="НПМУ")*(Main!$B$6:$B$798='Стан БГ'!C97)*(Main!$C$6:$C$798='Стан БГ'!H99),Main!$A$6:$A$798,0),R100,T100)&gt;0,MAX(IF((Main!$D$6:$D$798="НПМУ")*(Main!$B$6:$B$798='Стан БГ'!C97)*(Main!$C$6:$C$798='Стан БГ'!H99),Main!$A$6:$A$798,0),R100,T100),"")</f>
        <v/>
      </c>
      <c r="Q100" s="161">
        <f>Q97</f>
        <v>46</v>
      </c>
      <c r="R100" s="162" t="str">
        <f t="array" ref="R100">IF(MAX(IF((Main!$D$6:$D$798="НСМУ")*(Main!$B$6:$B$798='Стан БГ'!C97)*(Main!$C$6:$C$798='Стан БГ'!H99),Main!$A$6:$A$798,0),T100)&gt;0,MAX(IF((Main!$D$6:$D$798="НСМУ")*(Main!$B$6:$B$798='Стан БГ'!C97)*(Main!$C$6:$C$798='Стан БГ'!H99),Main!$A$6:$A$798,0),T100),"")</f>
        <v/>
      </c>
      <c r="S100" s="163">
        <f>S97</f>
        <v>30</v>
      </c>
      <c r="T100" s="129" t="str">
        <f t="array" ref="T100">IF(MAX(IF((Main!$D$6:$D$798="НВМП")*(Main!$B$6:$B$798='Стан БГ'!C97)*(Main!$C$6:$C$798='Стан БГ'!H99),Main!$A$6:$A$798,0))&gt;0,MAX(IF((Main!$D$6:$D$798="НВМП")*(Main!$B$6:$B$798='Стан БГ'!C97)*(Main!$C$6:$C$798='Стан БГ'!H99),Main!$A$6:$A$798,0)),"")</f>
        <v/>
      </c>
      <c r="U100" s="143">
        <f>U97</f>
        <v>365</v>
      </c>
      <c r="V100" s="151"/>
      <c r="W100" s="133">
        <f>IF($D96=1,W$8,IF($D96=2,W$9,IF($D96=3,W$10)))</f>
        <v>365</v>
      </c>
      <c r="X100" s="26"/>
      <c r="Y100" s="135">
        <f>IF($D96=1,Y$8,IF($D96=2,Y$9,IF($D96=3,Y$10)))</f>
        <v>365</v>
      </c>
      <c r="Z100" s="26"/>
      <c r="AA100" s="135">
        <f>IF($D96=1,AA$8,IF($D96=2,AA$9,IF($D96=3,AA$10)))</f>
        <v>365</v>
      </c>
      <c r="AB100" s="26"/>
      <c r="AC100" s="135">
        <f>IF($D96=1,AC$8,IF($D96=2,AC$9,IF($D96=3,AC$10)))</f>
        <v>365</v>
      </c>
      <c r="AD100" s="26"/>
      <c r="AE100" s="135">
        <f>AE97</f>
        <v>365</v>
      </c>
      <c r="AF100" s="26"/>
      <c r="AG100" s="135">
        <f>AG97</f>
        <v>365</v>
      </c>
      <c r="AH100" s="26"/>
      <c r="AI100" s="135">
        <f>AI97</f>
        <v>365</v>
      </c>
      <c r="AJ100" s="26"/>
      <c r="AK100" s="135">
        <f>AK97</f>
        <v>365</v>
      </c>
      <c r="AL100" s="33"/>
      <c r="AM100" s="141">
        <f>AM97</f>
        <v>365</v>
      </c>
      <c r="AN100" s="26"/>
      <c r="AO100" s="131" t="b">
        <f>IF($D99=1,AO$8,IF($D99=2,AO$9,IF($D99=3,AO$10)))</f>
        <v>0</v>
      </c>
      <c r="AP100" s="128">
        <v>45737.0</v>
      </c>
      <c r="AQ100" s="135" t="b">
        <f>IF($D99=1,AQ$8,IF($D99=2,AQ$9,IF($D99=3,AQ$10)))</f>
        <v>0</v>
      </c>
      <c r="AR100" s="128">
        <v>45674.0</v>
      </c>
      <c r="AS100" s="131" t="b">
        <f>IF($D99=1,AS$8,IF($D99=2,AS$9,IF($D99=3,AS$10)))</f>
        <v>0</v>
      </c>
      <c r="AT100" s="26"/>
      <c r="AU100" s="135" t="b">
        <f>IF($D99=1,AU$8,IF($D99=2,AU$9,IF($D99=3,AU$10)))</f>
        <v>0</v>
      </c>
      <c r="AV100" s="33"/>
      <c r="AW100" s="179">
        <f>IF($D96=1,AW$8,IF($D96=2,AW$9,IF($D96=3,AW$10)))</f>
        <v>365</v>
      </c>
      <c r="AX100" s="26"/>
      <c r="AY100" s="135">
        <f>IF($D96=1,AY$8,IF($D96=2,AY$9,IF($D96=3,AY$10)))</f>
        <v>365</v>
      </c>
      <c r="AZ100" s="26"/>
      <c r="BA100" s="135">
        <f>IF($D96=1,BA$8,IF($D96=2,BA$9,IF($D96=3,BA$10)))</f>
        <v>122</v>
      </c>
      <c r="BB100" s="26"/>
      <c r="BC100" s="135">
        <f>IF($D96=1,BC$8,IF($D96=2,BC$9,IF($D96=3,BC$10)))</f>
        <v>184</v>
      </c>
      <c r="BD100" s="26"/>
      <c r="BE100" s="135">
        <f>BE97</f>
        <v>184</v>
      </c>
      <c r="BF100" s="26"/>
      <c r="BG100" s="135">
        <f>BG97</f>
        <v>365</v>
      </c>
      <c r="BI100" s="143">
        <f>BI97</f>
        <v>184</v>
      </c>
      <c r="BK100" s="22"/>
    </row>
    <row r="101" ht="4.5" customHeight="1">
      <c r="A101" s="59"/>
      <c r="B101" s="60"/>
      <c r="C101" s="167"/>
      <c r="D101" s="60"/>
      <c r="E101" s="168"/>
      <c r="F101" s="65"/>
      <c r="G101" s="166"/>
      <c r="H101" s="144"/>
      <c r="I101" s="145">
        <f>IF(AND(J96=1,OR($G96="вп",$G96="вд",$G96="шп",$G96="оа")),1,0)</f>
        <v>0</v>
      </c>
      <c r="J101" s="146" t="str">
        <f>IF(J100="",0,IF($C$2&lt;(I100+J100)-15,2,IF($C$2&lt;(I100+J100),1,"0")))</f>
        <v>0</v>
      </c>
      <c r="K101" s="147"/>
      <c r="L101" s="148">
        <f>IF(L100="",0,IF($C$2&lt;(K100+L100)-15,2,IF($C$2&lt;(K100+L100),1,"0")))</f>
        <v>0</v>
      </c>
      <c r="M101" s="147"/>
      <c r="N101" s="146">
        <f>IF(N100="",0,IF($C$2&lt;(M100+N100)-15,2,IF($C$2&lt;(M100+N100),1,"0")))</f>
        <v>0</v>
      </c>
      <c r="O101" s="149"/>
      <c r="P101" s="146">
        <f>IF(P100="",0,IF($C$2&lt;(O100+P100)-15,2,IF($C$2&lt;(O100+P100),1,"0")))</f>
        <v>0</v>
      </c>
      <c r="Q101" s="149"/>
      <c r="R101" s="172">
        <f>IF(R100="",0,IF($C$2&lt;(Q100+R100)-15,2,IF($C$2&lt;(Q100+R100),1,"0")))</f>
        <v>0</v>
      </c>
      <c r="S101" s="262"/>
      <c r="T101" s="171">
        <f>IF(T100="",0,IF($C$2&lt;(S100+T100)-15,2,IF($C$2&lt;(S100+T100),1,"0")))</f>
        <v>0</v>
      </c>
      <c r="U101" s="173"/>
      <c r="V101" s="146" t="str">
        <f>IF(V97 = "",0,IF($C$2&lt;(U97+V97)-15,2,IF($C$2&lt;(U97+V97),1,"0")))</f>
        <v>0</v>
      </c>
      <c r="W101" s="152"/>
      <c r="X101" s="146">
        <f>IF(X97 = "",0,IF($C$2&lt;(W97+X97)-15,2,IF($C$2&lt;(W97+X97),1,"0")))</f>
        <v>0</v>
      </c>
      <c r="Y101" s="147"/>
      <c r="Z101" s="146">
        <f>IF(Z97 = "",0,IF($C$2&lt;(Y97+Z97)-15,2,IF($C$2&lt;(Y97+Z97),1,"0")))</f>
        <v>0</v>
      </c>
      <c r="AA101" s="147"/>
      <c r="AB101" s="146">
        <f>IF(AB97 = "",0,IF($C$2&lt;(AA97+AB97)-15,2,IF($C$2&lt;(AA97+AB97),1,"0")))</f>
        <v>0</v>
      </c>
      <c r="AC101" s="147"/>
      <c r="AD101" s="146">
        <f>IF(AD97 = "",0,IF($C$2&lt;(AC97+AD97)-15,2,IF($C$2&lt;(AC97+AD97),1,"0")))</f>
        <v>0</v>
      </c>
      <c r="AE101" s="147"/>
      <c r="AF101" s="146">
        <f>IF(AF97 = "",0,IF($C$2&lt;(AE97+AF97)-15,2,IF($C$2&lt;(AE97+AF97),1,"0")))</f>
        <v>0</v>
      </c>
      <c r="AG101" s="147"/>
      <c r="AH101" s="146">
        <f>IF(AH97 = "",0,IF($C$2&lt;(AG97+AH97)-15,2,IF($C$2&lt;(AG97+AH97),1,"0")))</f>
        <v>0</v>
      </c>
      <c r="AI101" s="147"/>
      <c r="AJ101" s="146">
        <f>IF(AJ97 = "",0,IF($C$2&lt;(AI97+AJ97)-15,2,IF($C$2&lt;(AI97+AJ97),1,"0")))</f>
        <v>0</v>
      </c>
      <c r="AK101" s="147"/>
      <c r="AL101" s="171">
        <f>IF(AL97 = "",0,IF($C$2&lt;(AK97+AL97)-15,2,IF($C$2&lt;(AK97+AL97),1,"0")))</f>
        <v>2</v>
      </c>
      <c r="AM101" s="147"/>
      <c r="AN101" s="146" t="str">
        <f>IF(AN97 = "",0,IF($C$2&lt;(AM97+AN97)-15,2,IF($C$2&lt;(AM97+AN97),1,"0")))</f>
        <v>0</v>
      </c>
      <c r="AO101" s="150"/>
      <c r="AP101" s="146" t="str">
        <f>IF(AP100 = "",0,IF($C$2&lt;(AO97+AP100)-15,2,IF($C$2&lt;(AO97+AP100),1,"0")))</f>
        <v>0</v>
      </c>
      <c r="AQ101" s="150"/>
      <c r="AR101" s="146" t="str">
        <f>IF(AR100 = "",0,IF($C$2&lt;(AQ97+AR100)-15,2,IF($C$2&lt;(AQ97+AR100),1,"0")))</f>
        <v>0</v>
      </c>
      <c r="AS101" s="150"/>
      <c r="AT101" s="146">
        <f>IF(AT97 = "",0,IF($C$2&lt;(AS97+AT97)-15,2,IF($C$2&lt;(AS97+AT97),1,"0")))</f>
        <v>2</v>
      </c>
      <c r="AU101" s="150"/>
      <c r="AV101" s="171" t="str">
        <f>IF(AV97 = "",0,IF($C$2&lt;(AU97+AV97)-15,2,IF($C$2&lt;(AU97+AV97),1,"0")))</f>
        <v>#VALUE!</v>
      </c>
      <c r="AW101" s="154"/>
      <c r="AX101" s="146">
        <f>IF(AX97 = "",0,IF($C$2&lt;(AW97+AX97)-15,2,IF($C$2&lt;(AW97+AX97),1,"0")))</f>
        <v>0</v>
      </c>
      <c r="AY101" s="147"/>
      <c r="AZ101" s="146">
        <f>IF(AZ97 = "",0,IF($C$2&lt;(AY97+AZ97)-15,2,IF($C$2&lt;(AY97+AZ97),1,"0")))</f>
        <v>0</v>
      </c>
      <c r="BA101" s="147"/>
      <c r="BB101" s="146">
        <f>IF(BB97 = "",0,IF($C$2&lt;(BA97+BB97)-15,2,IF($C$2&lt;(BA97+BB97),1,"0")))</f>
        <v>0</v>
      </c>
      <c r="BC101" s="147"/>
      <c r="BD101" s="146">
        <f>IF(BD97 = "",0,IF($C$2&lt;(BC97+BD97)-15,2,IF($C$2&lt;(BC97+BD97),1,"0")))</f>
        <v>0</v>
      </c>
      <c r="BE101" s="147"/>
      <c r="BF101" s="146">
        <f>IF(BF97 = "",0,IF($C$2&lt;(BE97+BF97)-15,2,IF($C$2&lt;(BE97+BF97),1,"0")))</f>
        <v>0</v>
      </c>
      <c r="BG101" s="147"/>
      <c r="BH101" s="172">
        <f>IF(BH97 = "",0,IF($C$2&lt;(BG97+BH97)-15,2,IF($C$2&lt;(BG97+BH97),1,"0")))</f>
        <v>0</v>
      </c>
      <c r="BI101" s="173"/>
      <c r="BJ101" s="172">
        <f>IF(BJ97 = "",0,IF($C$2&lt;(BI97+BJ97)-15,2,IF($C$2&lt;(BI97+BJ97),1,"0")))</f>
        <v>0</v>
      </c>
      <c r="BK101" s="22"/>
    </row>
    <row r="102" ht="1.5" customHeight="1">
      <c r="A102" s="269">
        <v>10.0</v>
      </c>
      <c r="B102" s="104" t="s">
        <v>92</v>
      </c>
      <c r="C102" s="174"/>
      <c r="D102" s="106">
        <v>1.0</v>
      </c>
      <c r="E102" s="107">
        <v>1.0</v>
      </c>
      <c r="F102" s="184">
        <f>IF(E102=1,1.5,1)</f>
        <v>1.5</v>
      </c>
      <c r="G102" s="245"/>
      <c r="H102" s="255" t="s">
        <v>70</v>
      </c>
      <c r="I102" s="110">
        <v>1.0</v>
      </c>
      <c r="J102" s="111">
        <f>IF(OR(J104=1,J104=2),1,0)</f>
        <v>0</v>
      </c>
      <c r="K102" s="110">
        <v>1.0</v>
      </c>
      <c r="L102" s="175">
        <f>IF(OR(L104=1,L104=2),1,0)</f>
        <v>0</v>
      </c>
      <c r="M102" s="110">
        <v>1.0</v>
      </c>
      <c r="N102" s="112">
        <f>IF(OR(N104=1,N104=2),1,0)</f>
        <v>0</v>
      </c>
      <c r="O102" s="110">
        <v>1.0</v>
      </c>
      <c r="P102" s="111">
        <f>IF(OR(P104=1,P104=2),1,0)</f>
        <v>0</v>
      </c>
      <c r="Q102" s="110">
        <v>1.0</v>
      </c>
      <c r="R102" s="112">
        <f>IF(OR(R104=1,R104=2),1,0)</f>
        <v>0</v>
      </c>
      <c r="S102" s="264">
        <v>1.0</v>
      </c>
      <c r="T102" s="246">
        <f>IF(OR(T104=1,T104=2),1,0)</f>
        <v>0</v>
      </c>
      <c r="U102" s="121"/>
      <c r="V102" s="115"/>
      <c r="W102" s="116"/>
      <c r="X102" s="115"/>
      <c r="Y102" s="114"/>
      <c r="Z102" s="115"/>
      <c r="AA102" s="114"/>
      <c r="AB102" s="115"/>
      <c r="AC102" s="114"/>
      <c r="AD102" s="115"/>
      <c r="AE102" s="114"/>
      <c r="AF102" s="115"/>
      <c r="AG102" s="114"/>
      <c r="AH102" s="115"/>
      <c r="AI102" s="114"/>
      <c r="AJ102" s="115"/>
      <c r="AK102" s="114"/>
      <c r="AL102" s="119"/>
      <c r="AM102" s="120"/>
      <c r="AN102" s="115"/>
      <c r="AO102" s="114"/>
      <c r="AP102" s="115"/>
      <c r="AQ102" s="114"/>
      <c r="AR102" s="115"/>
      <c r="AS102" s="114"/>
      <c r="AT102" s="115"/>
      <c r="AU102" s="114"/>
      <c r="AV102" s="119"/>
      <c r="AW102" s="120"/>
      <c r="AX102" s="115"/>
      <c r="AY102" s="114"/>
      <c r="AZ102" s="115"/>
      <c r="BA102" s="114"/>
      <c r="BB102" s="115"/>
      <c r="BC102" s="114"/>
      <c r="BD102" s="115"/>
      <c r="BE102" s="114"/>
      <c r="BF102" s="115"/>
      <c r="BG102" s="114"/>
      <c r="BH102" s="117"/>
      <c r="BI102" s="121"/>
      <c r="BJ102" s="117"/>
      <c r="BK102" s="22"/>
    </row>
    <row r="103" ht="15.0" customHeight="1">
      <c r="A103" s="23"/>
      <c r="B103" s="24"/>
      <c r="C103" s="122" t="s">
        <v>93</v>
      </c>
      <c r="D103" s="24"/>
      <c r="E103" s="123"/>
      <c r="F103" s="26"/>
      <c r="G103" s="24"/>
      <c r="H103" s="124"/>
      <c r="I103" s="125">
        <f>IF($D102=1,I$8,IF($D102=2,I$9,I$10))</f>
        <v>107</v>
      </c>
      <c r="J103" s="162">
        <f t="array" ref="J103">MAX(IF((Main!$D$6:$D$798="ДПМУ")*(Main!$B$6:$B$798='Стан БГ'!C103)*(Main!$C$6:$C$798='Стан БГ'!H102),Main!$A$6:$A$798,0),L103,N103,P103,R103,T103,Date(2025,7,16))</f>
        <v>45854</v>
      </c>
      <c r="K103" s="127">
        <f>IF($D102=1,K$8,IF($D102=2,K$9,K$10))</f>
        <v>92</v>
      </c>
      <c r="L103" s="128" t="str">
        <f t="array" ref="L103">IF(MAX(IF((Main!$D$6:$D$798="ДСМУ")*(Main!$B$6:$B$798='Стан БГ'!C103)*(Main!$C$6:$C$798='Стан БГ'!H102),Main!$A$6:$A$798,0),N103,R103,T103)&gt;0,MAX(IF((Main!$D$6:$D$798="ДСМУ")*(Main!$B$6:$B$798='Стан БГ'!C103)*(Main!$C$6:$C$798='Стан БГ'!H102),Main!$A$6:$A$798,0),N103,R103,T103),"")</f>
        <v/>
      </c>
      <c r="M103" s="127">
        <f>IF($D102=1,M$8,IF($D102=2,M$9,M$10))</f>
        <v>77</v>
      </c>
      <c r="N103" s="129" t="str">
        <f t="array" ref="N103">IF(MAX(IF((Main!$D$6:$D$798="ДВМП")*(Main!$B$6:$B$798='Стан БГ'!C103)*(Main!$C$6:$C$798='Стан БГ'!H102),Main!$A$6:$A$798,0),T103)&gt;0,MAX(IF((Main!$D$6:$D$798="ДВМП")*(Main!$B$6:$B$798='Стан БГ'!C103)*(Main!$C$6:$C$798='Стан БГ'!H102),Main!$A$6:$A$798,0),T103),"")</f>
        <v/>
      </c>
      <c r="O103" s="127">
        <f>IF($D102=1,O$8,IF($D102=2,O$9,O$10))</f>
        <v>92</v>
      </c>
      <c r="P103" s="129">
        <f t="array" ref="P103">MAX(IF((Main!$D$6:$D$798="НПМУ")*(Main!$B$6:$B$798='Стан БГ'!C103)*(Main!$C$6:$C$798='Стан БГ'!H102),Main!$A$6:$A$798,0),R103,T103,Date(2024,5,2))</f>
        <v>45414</v>
      </c>
      <c r="Q103" s="127">
        <f>IF($D102=1,Q$8,IF($D102=2,Q$9,Q$10))</f>
        <v>77</v>
      </c>
      <c r="R103" s="162" t="str">
        <f t="array" ref="R103">IF(MAX(IF((Main!$D$6:$D$798="НСМУ")*(Main!$B$6:$B$798='Стан БГ'!C103)*(Main!$C$6:$C$798='Стан БГ'!H102),Main!$A$6:$A$798,0),T103)&gt;0,MAX(IF((Main!$D$6:$D$798="НСМУ")*(Main!$B$6:$B$798='Стан БГ'!C103)*(Main!$C$6:$C$798='Стан БГ'!H102),Main!$A$6:$A$798,0),T103),"")</f>
        <v/>
      </c>
      <c r="S103" s="163">
        <f>IF($D102=1,S$8,IF($D102=2,S$9,S$10))</f>
        <v>61</v>
      </c>
      <c r="T103" s="129" t="str">
        <f t="array" ref="T103">IF(MAX(IF((Main!$D$6:$D$798="НВМП")*(Main!$B$6:$B$798='Стан БГ'!C103)*(Main!$C$6:$C$798='Стан БГ'!H102),Main!$A$6:$A$798,0))&gt;0,MAX(IF((Main!$D$6:$D$798="НВМП")*(Main!$B$6:$B$798='Стан БГ'!C103)*(Main!$C$6:$C$798='Стан БГ'!H102),Main!$A$6:$A$798,0)),"")</f>
        <v/>
      </c>
      <c r="U103" s="143">
        <f>IF($D102=1,U$8,IF($D102=2,U$9,IF($D102=3,U$10)))</f>
        <v>365</v>
      </c>
      <c r="V103" s="132">
        <v>45498.0</v>
      </c>
      <c r="W103" s="133">
        <f>IF($D102=1,W$8,IF($D102=2,W$9,IF($D102=3,W$10)))</f>
        <v>365</v>
      </c>
      <c r="X103" s="134"/>
      <c r="Y103" s="135">
        <f>IF($D102=1,Y$8,IF($D102=2,Y$9,IF($D102=3,Y$10)))</f>
        <v>365</v>
      </c>
      <c r="Z103" s="134"/>
      <c r="AA103" s="135">
        <f>IF($D102=1,AA$8,IF($D102=2,AA$9,IF($D102=3,AA$10)))</f>
        <v>365</v>
      </c>
      <c r="AB103" s="134"/>
      <c r="AC103" s="135">
        <f>IF($D102=1,AC$8,IF($D102=2,AC$9,IF($D102=3,AC$10)))</f>
        <v>365</v>
      </c>
      <c r="AD103" s="134">
        <v>45671.0</v>
      </c>
      <c r="AE103" s="135">
        <f>IF($D102=1,AE$8,IF($D102=2,AE$9,IF($D102=3,AE$10)))</f>
        <v>365</v>
      </c>
      <c r="AF103" s="134"/>
      <c r="AG103" s="135">
        <f>IF($D102=1,AG$8,IF($D102=2,AG$9,IF($D102=3,AG$10)))</f>
        <v>365</v>
      </c>
      <c r="AH103" s="134"/>
      <c r="AI103" s="135">
        <f>IF($D102=1,AI$8,IF($D102=2,AI$9,IF($D102=3,AI$10)))</f>
        <v>365</v>
      </c>
      <c r="AJ103" s="134">
        <v>45733.0</v>
      </c>
      <c r="AK103" s="135">
        <f>IF($D102=1,AK$8,IF($D102=2,AK$9,IF($D102=3,AK$10)))</f>
        <v>365</v>
      </c>
      <c r="AL103" s="178">
        <v>45720.0</v>
      </c>
      <c r="AM103" s="141">
        <f>IF($D102=1,AM$8,IF($D102=2,AM$9,IF($D102=3,AM$10)))</f>
        <v>365</v>
      </c>
      <c r="AN103" s="134">
        <v>45652.0</v>
      </c>
      <c r="AO103" s="131">
        <f>IF($D102=1,AO$8,IF($D102=2,AO$9,IF($D102=3,AO$10)))</f>
        <v>184</v>
      </c>
      <c r="AP103" s="128">
        <v>45789.0</v>
      </c>
      <c r="AQ103" s="135">
        <f>IF($D102=1,AQ$8,IF($D102=2,AQ$9,IF($D102=3,AQ$10)))</f>
        <v>365</v>
      </c>
      <c r="AR103" s="128">
        <v>45631.0</v>
      </c>
      <c r="AS103" s="131">
        <f>IF($D102=1,AS$8,IF($D102=2,AS$9,IF($D102=3,AS$10)))</f>
        <v>365</v>
      </c>
      <c r="AT103" s="134">
        <v>45879.0</v>
      </c>
      <c r="AU103" s="135">
        <f>IF($D102=1,AU$8,IF($D102=2,AU$9,AU$10))</f>
        <v>1095</v>
      </c>
      <c r="AV103" s="178" t="s">
        <v>65</v>
      </c>
      <c r="AW103" s="179">
        <f>IF($D102=1,AW$8,IF($D102=2,AW$9,IF($D102=3,AW$10)))</f>
        <v>365</v>
      </c>
      <c r="AX103" s="134" t="str">
        <f t="array" ref="AX103">IF(MAX(IF((ISNUMBER(SEARCH("Складний пілотаж",Main!$M$6:$M$798)))*(Main!$B$6:$B$798='Стан БГ'!C103),Main!$A$6:$A$798,0))&gt;0,MAX(IF((ISNUMBER(SEARCH("Складний пілотаж",Main!$M$6:$M$798)))*(Main!$B$6:$B$798='Стан БГ'!C103),Main!$A$6:$A$798,0)),"")</f>
        <v/>
      </c>
      <c r="AY103" s="135">
        <f>IF($D102=1,AY$8,IF($D102=2,AY$9,IF($D102=3,AY$10)))</f>
        <v>365</v>
      </c>
      <c r="AZ103" s="134" t="str">
        <f t="array" ref="AZ103">IF(MAX(IF((ISNUMBER(SEARCH("Мала висота",Main!$M$6:$M$798)))*(Main!$B$6:$B$798='Стан БГ'!C103),Main!$A$6:$A$798,0))&gt;0,MAX(IF((ISNUMBER(SEARCH("Мала висота",Main!$M$6:$M$798)))*(Main!$B$6:$B$798='Стан БГ'!C103),Main!$A$6:$A$798,0)),"")</f>
        <v/>
      </c>
      <c r="BA103" s="135">
        <f>IF($D102=1,BA$8,IF($D102=2,BA$9,IF($D102=3,BA$10)))</f>
        <v>122</v>
      </c>
      <c r="BB103" s="134" t="str">
        <f t="array" ref="BB103">IF(MAX(IF((ISNUMBER(SEARCH("Гр. мала висота (ОНБ)",Main!$M$6:$M$798)))*(Main!$B$6:$B$798='Стан БГ'!C103),Main!$A$6:$A$798,0))&gt;0,MAX(IF((ISNUMBER(SEARCH("Гр. мала висота (ОНБ)",Main!$M$6:$M$798)))*(Main!$B$6:$B$798='Стан БГ'!C103),Main!$A$6:$A$798,0)),"14.01.2025")</f>
        <v>14.01.2025</v>
      </c>
      <c r="BC103" s="135">
        <f>IF($D102=1,BC$8,IF($D102=2,BC$9,IF($D102=3,BC$10)))</f>
        <v>184</v>
      </c>
      <c r="BD103" s="134" t="str">
        <f t="array" ref="BD103">IF(MAX(IF((ISNUMBER(SEARCH("Бойове застосування",Main!$M$6:$M$798)))*(Main!$B$6:$B$798='Стан БГ'!C103),Main!$A$6:$A$798,0))&gt;0,MAX(IF((ISNUMBER(SEARCH("Бойове застосування",Main!$M$6:$M$798)))*(Main!$B$6:$B$798='Стан БГ'!C103),Main!$A$6:$A$798,0)),"14.06.2025")</f>
        <v>14.06.2025</v>
      </c>
      <c r="BE103" s="135">
        <f>IF($D102=1,BE$8,IF($D102=2,BE$9,IF($D102=3,BE$10)))</f>
        <v>184</v>
      </c>
      <c r="BF103" s="134" t="str">
        <f t="array" ref="BF103">IF(MAX(IF((ISNUMBER(SEARCH("Групова злітаність",Main!$M$6:$M$798)))*(Main!$B$6:$B$798='Стан БГ'!C103),Main!$A$6:$A$798,0))&gt;0,MAX(IF((ISNUMBER(SEARCH("Групова злітаність",Main!$M$6:$M$798)))*(Main!$B$6:$B$798='Стан БГ'!C103),Main!$A$6:$A$798,0)),"")</f>
        <v/>
      </c>
      <c r="BG103" s="135">
        <f>IF($D102=1,BG$8,IF($D102=2,BG$9,IF($D102=3,BG$10)))</f>
        <v>365</v>
      </c>
      <c r="BH103" s="176" t="str">
        <f t="array" ref="BH103">IF(MAX(IF((ISNUMBER(SEARCH("На десантування",Main!$M$6:$M$798)))*(Main!$B$6:$B$798='Стан БГ'!C103),Main!$A$6:$A$798,0))&gt;0,MAX(IF((ISNUMBER(SEARCH("На десантування",Main!$M$6:$M$798)))*(Main!$B$6:$B$798='Стан БГ'!C103),Main!$A$6:$A$798,0)),"05.02.2025")</f>
        <v>05.02.2025</v>
      </c>
      <c r="BI103" s="143">
        <f>IF($D102=1,BI$8,IF($D102=2,BI$9,IF($D102=3,BI$10)))</f>
        <v>184</v>
      </c>
      <c r="BJ103" s="142"/>
      <c r="BK103" s="22"/>
    </row>
    <row r="104" ht="4.5" customHeight="1">
      <c r="A104" s="23"/>
      <c r="B104" s="24"/>
      <c r="C104" s="24"/>
      <c r="D104" s="24"/>
      <c r="E104" s="123"/>
      <c r="F104" s="26"/>
      <c r="G104" s="24"/>
      <c r="H104" s="144"/>
      <c r="I104" s="145">
        <f>IF(AND(J102=1,OR($G102="вп",$G102="вд",$G102="шп",$G102="оа")),1,0)</f>
        <v>0</v>
      </c>
      <c r="J104" s="146" t="str">
        <f>IF(J103="",0,IF($C$2&lt;(I103+J103)-15,2,IF($C$2&lt;(I103+J103),1,"0")))</f>
        <v>0</v>
      </c>
      <c r="K104" s="147"/>
      <c r="L104" s="148">
        <f>IF(L103="",0,IF($C$2&lt;(K103+L103)-15,2,IF($C$2&lt;(K103+L103),1,"0")))</f>
        <v>0</v>
      </c>
      <c r="M104" s="147"/>
      <c r="N104" s="146">
        <f>IF(N103="",0,IF($C$2&lt;(M103+N103)-15,2,IF($C$2&lt;(M103+N103),1,"0")))</f>
        <v>0</v>
      </c>
      <c r="O104" s="149"/>
      <c r="P104" s="146" t="str">
        <f>IF(P103="",0,IF($C$2&lt;(O103+P103)-15,2,IF($C$2&lt;(O103+P103),1,"0")))</f>
        <v>0</v>
      </c>
      <c r="Q104" s="149"/>
      <c r="R104" s="172">
        <f>IF(R103="",0,IF($C$2&lt;(Q103+R103)-15,2,IF($C$2&lt;(Q103+R103),1,"0")))</f>
        <v>0</v>
      </c>
      <c r="S104" s="262"/>
      <c r="T104" s="171">
        <f>IF(T103="",0,IF($C$2&lt;(S103+T103)-15,2,IF($C$2&lt;(S103+T103),1,"0")))</f>
        <v>0</v>
      </c>
      <c r="U104" s="155"/>
      <c r="V104" s="151"/>
      <c r="W104" s="152"/>
      <c r="X104" s="26"/>
      <c r="Y104" s="153"/>
      <c r="Z104" s="26"/>
      <c r="AA104" s="153"/>
      <c r="AB104" s="26"/>
      <c r="AC104" s="153"/>
      <c r="AD104" s="26"/>
      <c r="AE104" s="153"/>
      <c r="AF104" s="26"/>
      <c r="AG104" s="153"/>
      <c r="AH104" s="26"/>
      <c r="AI104" s="153"/>
      <c r="AJ104" s="26"/>
      <c r="AK104" s="153"/>
      <c r="AL104" s="33"/>
      <c r="AM104" s="154"/>
      <c r="AN104" s="26"/>
      <c r="AO104" s="150"/>
      <c r="AP104" s="146" t="str">
        <f>IF(AP103 = "",0,IF($C$2&lt;(AO103+AP103)-15,2,IF($C$2&lt;(AO103+AP103),1,"0")))</f>
        <v>0</v>
      </c>
      <c r="AQ104" s="150"/>
      <c r="AR104" s="146" t="str">
        <f>IF(AR103 = "",0,IF($C$2&lt;(AQ103+AR103)-15,2,IF($C$2&lt;(AQ103+AR103),1,"0")))</f>
        <v>0</v>
      </c>
      <c r="AS104" s="150"/>
      <c r="AT104" s="26"/>
      <c r="AU104" s="153"/>
      <c r="AV104" s="33"/>
      <c r="AW104" s="181"/>
      <c r="AX104" s="26"/>
      <c r="AY104" s="153"/>
      <c r="AZ104" s="26"/>
      <c r="BA104" s="153"/>
      <c r="BB104" s="26"/>
      <c r="BC104" s="153"/>
      <c r="BD104" s="26"/>
      <c r="BE104" s="153"/>
      <c r="BF104" s="26"/>
      <c r="BG104" s="153"/>
      <c r="BI104" s="155"/>
      <c r="BK104" s="22"/>
    </row>
    <row r="105" ht="1.5" customHeight="1">
      <c r="A105" s="23"/>
      <c r="B105" s="24"/>
      <c r="C105" s="24"/>
      <c r="D105" s="24"/>
      <c r="E105" s="123"/>
      <c r="F105" s="26"/>
      <c r="G105" s="24"/>
      <c r="H105" s="263" t="s">
        <v>85</v>
      </c>
      <c r="I105" s="110">
        <v>1.0</v>
      </c>
      <c r="J105" s="115">
        <f>IF(OR(J107=1,J107=2),1,0)</f>
        <v>0</v>
      </c>
      <c r="K105" s="110">
        <v>1.0</v>
      </c>
      <c r="L105" s="157">
        <f>IF(OR(L107=1,L107=2),1,0)</f>
        <v>0</v>
      </c>
      <c r="M105" s="110">
        <v>1.0</v>
      </c>
      <c r="N105" s="117">
        <f>IF(OR(N107=1,N107=2),1,0)</f>
        <v>0</v>
      </c>
      <c r="O105" s="110">
        <v>1.0</v>
      </c>
      <c r="P105" s="115">
        <f>IF(OR(P107=1,P107=2),1,0)</f>
        <v>0</v>
      </c>
      <c r="Q105" s="110">
        <v>1.0</v>
      </c>
      <c r="R105" s="117">
        <f>IF(OR(R107=1,R107=2),1,0)</f>
        <v>0</v>
      </c>
      <c r="S105" s="264">
        <v>1.0</v>
      </c>
      <c r="T105" s="119">
        <f>IF(OR(T107=1,T107=2),1,0)</f>
        <v>0</v>
      </c>
      <c r="U105" s="121"/>
      <c r="V105" s="151"/>
      <c r="W105" s="116"/>
      <c r="X105" s="26"/>
      <c r="Y105" s="159"/>
      <c r="Z105" s="26"/>
      <c r="AA105" s="159"/>
      <c r="AB105" s="26"/>
      <c r="AC105" s="159"/>
      <c r="AD105" s="26"/>
      <c r="AE105" s="159"/>
      <c r="AF105" s="26"/>
      <c r="AG105" s="159"/>
      <c r="AH105" s="26"/>
      <c r="AI105" s="159"/>
      <c r="AJ105" s="26"/>
      <c r="AK105" s="159"/>
      <c r="AL105" s="33"/>
      <c r="AM105" s="120"/>
      <c r="AN105" s="26"/>
      <c r="AO105" s="114"/>
      <c r="AP105" s="115"/>
      <c r="AQ105" s="114"/>
      <c r="AR105" s="115"/>
      <c r="AS105" s="114"/>
      <c r="AT105" s="26"/>
      <c r="AU105" s="159"/>
      <c r="AV105" s="33"/>
      <c r="AW105" s="183"/>
      <c r="AX105" s="26"/>
      <c r="AY105" s="159"/>
      <c r="AZ105" s="26"/>
      <c r="BA105" s="159"/>
      <c r="BB105" s="26"/>
      <c r="BC105" s="159"/>
      <c r="BD105" s="26"/>
      <c r="BE105" s="159"/>
      <c r="BF105" s="26"/>
      <c r="BG105" s="159"/>
      <c r="BI105" s="121"/>
      <c r="BK105" s="22"/>
    </row>
    <row r="106" ht="15.0" customHeight="1">
      <c r="A106" s="23"/>
      <c r="B106" s="24"/>
      <c r="C106" s="24"/>
      <c r="D106" s="24"/>
      <c r="E106" s="123"/>
      <c r="F106" s="26"/>
      <c r="G106" s="24"/>
      <c r="H106" s="124"/>
      <c r="I106" s="125">
        <f>I103</f>
        <v>107</v>
      </c>
      <c r="J106" s="162">
        <f t="array" ref="J106">MAX(IF((Main!$D$6:$D$798="ДПМУ")*(Main!$B$6:$B$798='Стан БГ'!C103)*(Main!$C$6:$C$798='Стан БГ'!H105),Main!$A$6:$A$798,0),L106,N106,P106,R106,T106,Date(2025,6,1))</f>
        <v>45809</v>
      </c>
      <c r="K106" s="161">
        <f>K103</f>
        <v>92</v>
      </c>
      <c r="L106" s="162" t="str">
        <f t="array" ref="L106">IF(MAX(IF((Main!$D$6:$D$798="ДСМУ")*(Main!$B$6:$B$798='Стан БГ'!C103)*(Main!$C$6:$C$798='Стан БГ'!H105),Main!$A$6:$A$798,0),N106,R106,T106)&gt;0,MAX(IF((Main!$D$6:$D$798="ДСМУ")*(Main!$B$6:$B$798='Стан БГ'!C103)*(Main!$C$6:$C$798='Стан БГ'!H105),Main!$A$6:$A$798,0),N106,R106,T106),"")</f>
        <v/>
      </c>
      <c r="M106" s="161">
        <f>M103</f>
        <v>77</v>
      </c>
      <c r="N106" s="162" t="str">
        <f t="array" ref="N106">IF(MAX(IF((Main!$D$6:$D$798="ДВМП")*(Main!$B$6:$B$798='Стан БГ'!C103)*(Main!$C$6:$C$798='Стан БГ'!H105),Main!$A$6:$A$798,0),T106)&gt;0,MAX(IF((Main!$D$6:$D$798="ДВМП")*(Main!$B$6:$B$798='Стан БГ'!C103)*(Main!$C$6:$C$798='Стан БГ'!H105),Main!$A$6:$A$798,0),T106),"")</f>
        <v/>
      </c>
      <c r="O106" s="163">
        <f>O103</f>
        <v>92</v>
      </c>
      <c r="P106" s="128" t="str">
        <f t="array" ref="P106">IF(MAX(IF((Main!$D$6:$D$798="НПМУ")*(Main!$B$6:$B$798='Стан БГ'!C103)*(Main!$C$6:$C$798='Стан БГ'!H105),Main!$A$6:$A$798,0),R106,T106)&gt;0,MAX(IF((Main!$D$6:$D$798="НПМУ")*(Main!$B$6:$B$798='Стан БГ'!C103)*(Main!$C$6:$C$798='Стан БГ'!H105),Main!$A$6:$A$798,0),R106,T106),"")</f>
        <v/>
      </c>
      <c r="Q106" s="161">
        <f>Q103</f>
        <v>77</v>
      </c>
      <c r="R106" s="162" t="str">
        <f t="array" ref="R106">IF(MAX(IF((Main!$D$6:$D$798="НСМУ")*(Main!$B$6:$B$798='Стан БГ'!C103)*(Main!$C$6:$C$798='Стан БГ'!H105),Main!$A$6:$A$798,0),T106)&gt;0,MAX(IF((Main!$D$6:$D$798="НСМУ")*(Main!$B$6:$B$798='Стан БГ'!C103)*(Main!$C$6:$C$798='Стан БГ'!H105),Main!$A$6:$A$798,0),T106),"")</f>
        <v/>
      </c>
      <c r="S106" s="163">
        <f>S103</f>
        <v>61</v>
      </c>
      <c r="T106" s="129" t="str">
        <f t="array" ref="T106">IF(MAX(IF((Main!$D$6:$D$798="НВМП")*(Main!$B$6:$B$798='Стан БГ'!C103)*(Main!$C$6:$C$798='Стан БГ'!H105),Main!$A$6:$A$798,0))&gt;0,MAX(IF((Main!$D$6:$D$798="НВМП")*(Main!$B$6:$B$798='Стан БГ'!C103)*(Main!$C$6:$C$798='Стан БГ'!H105),Main!$A$6:$A$798,0)),"")</f>
        <v/>
      </c>
      <c r="U106" s="268">
        <f>U103</f>
        <v>365</v>
      </c>
      <c r="V106" s="70"/>
      <c r="W106" s="277">
        <f>IF($D102=1,W$8,IF($D102=2,W$9,IF($D102=3,W$10)))</f>
        <v>365</v>
      </c>
      <c r="X106" s="26"/>
      <c r="Y106" s="135">
        <f>IF($D102=1,Y$8,IF($D102=2,Y$9,IF($D102=3,Y$10)))</f>
        <v>365</v>
      </c>
      <c r="Z106" s="26"/>
      <c r="AA106" s="135">
        <f>IF($D102=1,AA$8,IF($D102=2,AA$9,IF($D102=3,AA$10)))</f>
        <v>365</v>
      </c>
      <c r="AB106" s="26"/>
      <c r="AC106" s="135">
        <f>IF($D102=1,AC$8,IF($D102=2,AC$9,IF($D102=3,AC$10)))</f>
        <v>365</v>
      </c>
      <c r="AD106" s="26"/>
      <c r="AE106" s="135">
        <f>AE103</f>
        <v>365</v>
      </c>
      <c r="AF106" s="26"/>
      <c r="AG106" s="135">
        <f>AG103</f>
        <v>365</v>
      </c>
      <c r="AH106" s="26"/>
      <c r="AI106" s="135">
        <f>AI103</f>
        <v>365</v>
      </c>
      <c r="AJ106" s="26"/>
      <c r="AK106" s="135">
        <f>AK103</f>
        <v>365</v>
      </c>
      <c r="AL106" s="33"/>
      <c r="AM106" s="141">
        <f>AM103</f>
        <v>365</v>
      </c>
      <c r="AN106" s="26"/>
      <c r="AO106" s="131" t="b">
        <f>IF($D105=1,AO$8,IF($D105=2,AO$9,IF($D105=3,AO$10)))</f>
        <v>0</v>
      </c>
      <c r="AP106" s="128">
        <v>45789.0</v>
      </c>
      <c r="AQ106" s="135" t="b">
        <f>IF($D105=1,AQ$8,IF($D105=2,AQ$9,IF($D105=3,AQ$10)))</f>
        <v>0</v>
      </c>
      <c r="AR106" s="128">
        <v>45797.0</v>
      </c>
      <c r="AS106" s="131" t="b">
        <f>IF($D105=1,AS$8,IF($D105=2,AS$9,IF($D105=3,AS$10)))</f>
        <v>0</v>
      </c>
      <c r="AT106" s="26"/>
      <c r="AU106" s="135" t="b">
        <f>IF($D105=1,AU$8,IF($D105=2,AU$9,IF($D105=3,AU$10)))</f>
        <v>0</v>
      </c>
      <c r="AV106" s="33"/>
      <c r="AW106" s="179">
        <f>IF($D102=1,AW$8,IF($D102=2,AW$9,IF($D102=3,AW$10)))</f>
        <v>365</v>
      </c>
      <c r="AX106" s="26"/>
      <c r="AY106" s="135">
        <f>IF($D102=1,AY$8,IF($D102=2,AY$9,IF($D102=3,AY$10)))</f>
        <v>365</v>
      </c>
      <c r="AZ106" s="26"/>
      <c r="BA106" s="135">
        <f>IF($D102=1,BA$8,IF($D102=2,BA$9,IF($D102=3,BA$10)))</f>
        <v>122</v>
      </c>
      <c r="BB106" s="26"/>
      <c r="BC106" s="135">
        <f>IF($D102=1,BC$8,IF($D102=2,BC$9,IF($D102=3,BC$10)))</f>
        <v>184</v>
      </c>
      <c r="BD106" s="26"/>
      <c r="BE106" s="135">
        <f>BE103</f>
        <v>184</v>
      </c>
      <c r="BF106" s="26"/>
      <c r="BG106" s="135">
        <f>BG103</f>
        <v>365</v>
      </c>
      <c r="BI106" s="143">
        <f>BI103</f>
        <v>184</v>
      </c>
      <c r="BK106" s="22"/>
    </row>
    <row r="107" ht="4.5" customHeight="1">
      <c r="A107" s="59"/>
      <c r="B107" s="60"/>
      <c r="C107" s="167"/>
      <c r="D107" s="60"/>
      <c r="E107" s="168"/>
      <c r="F107" s="65"/>
      <c r="G107" s="166"/>
      <c r="H107" s="144"/>
      <c r="I107" s="145">
        <f>IF(AND(J102=1,OR($G102="вп",$G102="вд",$G102="шп",$G102="оа")),1,0)</f>
        <v>0</v>
      </c>
      <c r="J107" s="146" t="str">
        <f>IF(J106="",0,IF($C$2&lt;(I106+J106)-15,2,IF($C$2&lt;(I106+J106),1,"0")))</f>
        <v>0</v>
      </c>
      <c r="K107" s="147"/>
      <c r="L107" s="148">
        <f>IF(L106="",0,IF($C$2&lt;(K106+L106)-15,2,IF($C$2&lt;(K106+L106),1,"0")))</f>
        <v>0</v>
      </c>
      <c r="M107" s="147"/>
      <c r="N107" s="146">
        <f>IF(N106="",0,IF($C$2&lt;(M106+N106)-15,2,IF($C$2&lt;(M106+N106),1,"0")))</f>
        <v>0</v>
      </c>
      <c r="O107" s="149"/>
      <c r="P107" s="146">
        <f>IF(P106="",0,IF($C$2&lt;(O106+P106)-15,2,IF($C$2&lt;(O106+P106),1,"0")))</f>
        <v>0</v>
      </c>
      <c r="Q107" s="149"/>
      <c r="R107" s="172">
        <f>IF(R106="",0,IF($C$2&lt;(Q106+R106)-15,2,IF($C$2&lt;(Q106+R106),1,"0")))</f>
        <v>0</v>
      </c>
      <c r="S107" s="262"/>
      <c r="T107" s="171">
        <f>IF(T106="",0,IF($C$2&lt;(S106+T106)-15,2,IF($C$2&lt;(S106+T106),1,"0")))</f>
        <v>0</v>
      </c>
      <c r="U107" s="147"/>
      <c r="V107" s="146" t="str">
        <f>IF(V103 = "",0,IF($C$2&lt;(U103+V103)-15,2,IF($C$2&lt;(U103+V103),1,"0")))</f>
        <v>0</v>
      </c>
      <c r="W107" s="145"/>
      <c r="X107" s="146">
        <f>IF(X103 = "",0,IF($C$2&lt;(W103+X103)-15,2,IF($C$2&lt;(W103+X103),1,"0")))</f>
        <v>0</v>
      </c>
      <c r="Y107" s="147"/>
      <c r="Z107" s="146">
        <f>IF(Z103 = "",0,IF($C$2&lt;(Y103+Z103)-15,2,IF($C$2&lt;(Y103+Z103),1,"0")))</f>
        <v>0</v>
      </c>
      <c r="AA107" s="147"/>
      <c r="AB107" s="146">
        <f>IF(AB103 = "",0,IF($C$2&lt;(AA103+AB103)-15,2,IF($C$2&lt;(AA103+AB103),1,"0")))</f>
        <v>0</v>
      </c>
      <c r="AC107" s="147"/>
      <c r="AD107" s="146" t="str">
        <f>IF(AD103 = "",0,IF($C$2&lt;(AC103+AD103)-15,2,IF($C$2&lt;(AC103+AD103),1,"0")))</f>
        <v>0</v>
      </c>
      <c r="AE107" s="147"/>
      <c r="AF107" s="146">
        <f>IF(AF103 = "",0,IF($C$2&lt;(AE103+AF103)-15,2,IF($C$2&lt;(AE103+AF103),1,"0")))</f>
        <v>0</v>
      </c>
      <c r="AG107" s="147"/>
      <c r="AH107" s="146">
        <f>IF(AH103 = "",0,IF($C$2&lt;(AG103+AH103)-15,2,IF($C$2&lt;(AG103+AH103),1,"0")))</f>
        <v>0</v>
      </c>
      <c r="AI107" s="147"/>
      <c r="AJ107" s="146">
        <f>IF(AJ103 = "",0,IF($C$2&lt;(AI103+AJ103)-15,2,IF($C$2&lt;(AI103+AJ103),1,"0")))</f>
        <v>2</v>
      </c>
      <c r="AK107" s="147"/>
      <c r="AL107" s="171">
        <f>IF(AL103 = "",0,IF($C$2&lt;(AK103+AL103)-15,2,IF($C$2&lt;(AK103+AL103),1,"0")))</f>
        <v>2</v>
      </c>
      <c r="AM107" s="147"/>
      <c r="AN107" s="146" t="str">
        <f>IF(AN103 = "",0,IF($C$2&lt;(AM103+AN103)-15,2,IF($C$2&lt;(AM103+AN103),1,"0")))</f>
        <v>0</v>
      </c>
      <c r="AO107" s="150"/>
      <c r="AP107" s="146" t="str">
        <f>IF(AP106 = "",0,IF($C$2&lt;(AO103+AP106)-15,2,IF($C$2&lt;(AO103+AP106),1,"0")))</f>
        <v>0</v>
      </c>
      <c r="AQ107" s="150"/>
      <c r="AR107" s="146">
        <f>IF(AR106 = "",0,IF($C$2&lt;(AQ103+AR106)-15,2,IF($C$2&lt;(AQ103+AR106),1,"0")))</f>
        <v>2</v>
      </c>
      <c r="AS107" s="150"/>
      <c r="AT107" s="146">
        <f>IF(AT103 = "",0,IF($C$2&lt;(AS103+AT103)-15,2,IF($C$2&lt;(AS103+AT103),1,"0")))</f>
        <v>2</v>
      </c>
      <c r="AU107" s="150"/>
      <c r="AV107" s="171" t="str">
        <f>IF(AV103 = "",0,IF($C$2&lt;(AU103+AV103)-15,2,IF($C$2&lt;(AU103+AV103),1,"0")))</f>
        <v>#VALUE!</v>
      </c>
      <c r="AW107" s="154"/>
      <c r="AX107" s="278">
        <f>IF(AX103 = "",0,IF($C$2&lt;(AW103+AX103)-15,2,IF($C$2&lt;(AW103+AX103),1,"0")))</f>
        <v>0</v>
      </c>
      <c r="AY107" s="279"/>
      <c r="AZ107" s="278">
        <f>IF(AZ103 = "",0,IF($C$2&lt;(AY103+AZ103)-15,2,IF($C$2&lt;(AY103+AZ103),1,"0")))</f>
        <v>0</v>
      </c>
      <c r="BA107" s="279"/>
      <c r="BB107" s="278" t="str">
        <f>IF(BB103 = "",0,IF($C$2&lt;(BA103+BB103)-15,2,IF($C$2&lt;(BA103+BB103),1,"0")))</f>
        <v>0</v>
      </c>
      <c r="BC107" s="279"/>
      <c r="BD107" s="278" t="str">
        <f>IF(BD103 = "",0,IF($C$2&lt;(BC103+BD103)-15,2,IF($C$2&lt;(BC103+BD103),1,"0")))</f>
        <v>0</v>
      </c>
      <c r="BE107" s="279"/>
      <c r="BF107" s="278">
        <f>IF(BF103 = "",0,IF($C$2&lt;(BE103+BF103)-15,2,IF($C$2&lt;(BE103+BF103),1,"0")))</f>
        <v>0</v>
      </c>
      <c r="BG107" s="279"/>
      <c r="BH107" s="280" t="str">
        <f>IF(BH103 = "",0,IF($C$2&lt;(BG103+BH103)-15,2,IF($C$2&lt;(BG103+BH103),1,"0")))</f>
        <v>0</v>
      </c>
      <c r="BI107" s="173"/>
      <c r="BJ107" s="172">
        <f>IF(BJ103 = "",0,IF($C$2&lt;(BI103+BJ103)-15,2,IF($C$2&lt;(BI103+BJ103),1,"0")))</f>
        <v>0</v>
      </c>
      <c r="BK107" s="22"/>
    </row>
    <row r="108" ht="4.5" hidden="1" customHeight="1">
      <c r="A108" s="103">
        <v>13.0</v>
      </c>
      <c r="B108" s="104" t="s">
        <v>94</v>
      </c>
      <c r="C108" s="174"/>
      <c r="D108" s="106">
        <v>3.0</v>
      </c>
      <c r="E108" s="107">
        <v>1.0</v>
      </c>
      <c r="F108" s="184">
        <f>IF(E108=1,1.5,1)</f>
        <v>1.5</v>
      </c>
      <c r="G108" s="220"/>
      <c r="H108" s="109" t="s">
        <v>57</v>
      </c>
      <c r="I108" s="110">
        <v>1.0</v>
      </c>
      <c r="J108" s="111">
        <f>IF(OR(J110=1,J110=2),1,0)</f>
        <v>0</v>
      </c>
      <c r="K108" s="110">
        <v>1.0</v>
      </c>
      <c r="L108" s="175">
        <f>IF(OR(L110=1,L110=2),1,0)</f>
        <v>0</v>
      </c>
      <c r="M108" s="110">
        <v>1.0</v>
      </c>
      <c r="N108" s="112">
        <f>IF(OR(N110=1,N110=2),1,0)</f>
        <v>0</v>
      </c>
      <c r="O108" s="110">
        <v>1.0</v>
      </c>
      <c r="P108" s="111">
        <f>IF(OR(P110=1,P110=2),1,0)</f>
        <v>0</v>
      </c>
      <c r="Q108" s="110">
        <v>1.0</v>
      </c>
      <c r="R108" s="112">
        <f>IF(OR(R110=1,R110=2),1,0)</f>
        <v>0</v>
      </c>
      <c r="S108" s="264">
        <v>1.0</v>
      </c>
      <c r="T108" s="246">
        <f>IF(OR(T110=1,T110=2),1,0)</f>
        <v>0</v>
      </c>
      <c r="U108" s="120"/>
      <c r="V108" s="115"/>
      <c r="W108" s="118"/>
      <c r="X108" s="115"/>
      <c r="Y108" s="114"/>
      <c r="Z108" s="115"/>
      <c r="AA108" s="114"/>
      <c r="AB108" s="115"/>
      <c r="AC108" s="114"/>
      <c r="AD108" s="115"/>
      <c r="AE108" s="114"/>
      <c r="AF108" s="115"/>
      <c r="AG108" s="114"/>
      <c r="AH108" s="115"/>
      <c r="AI108" s="114"/>
      <c r="AJ108" s="115"/>
      <c r="AK108" s="114"/>
      <c r="AL108" s="119"/>
      <c r="AM108" s="120"/>
      <c r="AN108" s="115"/>
      <c r="AO108" s="114"/>
      <c r="AP108" s="115"/>
      <c r="AQ108" s="114"/>
      <c r="AR108" s="115"/>
      <c r="AS108" s="114"/>
      <c r="AT108" s="115"/>
      <c r="AU108" s="114"/>
      <c r="AV108" s="119"/>
      <c r="AW108" s="120"/>
      <c r="AX108" s="223"/>
      <c r="AY108" s="229"/>
      <c r="AZ108" s="223"/>
      <c r="BA108" s="229"/>
      <c r="BB108" s="223"/>
      <c r="BC108" s="229"/>
      <c r="BD108" s="223"/>
      <c r="BE108" s="229"/>
      <c r="BF108" s="223"/>
      <c r="BG108" s="229"/>
      <c r="BH108" s="225"/>
      <c r="BI108" s="121"/>
      <c r="BJ108" s="117"/>
      <c r="BK108" s="22"/>
    </row>
    <row r="109" ht="11.25" hidden="1" customHeight="1">
      <c r="A109" s="23"/>
      <c r="B109" s="24"/>
      <c r="C109" s="122" t="s">
        <v>95</v>
      </c>
      <c r="D109" s="24"/>
      <c r="E109" s="123"/>
      <c r="F109" s="26"/>
      <c r="G109" s="24"/>
      <c r="H109" s="124"/>
      <c r="I109" s="125">
        <f>IF($D108=1,I$8,IF($D108=2,I$9,I$10))</f>
        <v>76</v>
      </c>
      <c r="J109" s="281"/>
      <c r="K109" s="282">
        <f>IF($D108=1,K$8,IF($D108=2,K$9,K$10))</f>
        <v>61</v>
      </c>
      <c r="L109" s="138"/>
      <c r="M109" s="282">
        <f>IF($D108=1,M$8,IF($D108=2,M$9,M$10))</f>
        <v>46</v>
      </c>
      <c r="N109" s="283"/>
      <c r="O109" s="282">
        <f>IF($D108=1,O$8,IF($D108=2,O$9,O$10))</f>
        <v>61</v>
      </c>
      <c r="P109" s="281"/>
      <c r="Q109" s="282">
        <f>IF($D108=1,Q$8,IF($D108=2,Q$9,Q$10))</f>
        <v>46</v>
      </c>
      <c r="R109" s="281"/>
      <c r="S109" s="284">
        <f>IF($D108=1,S$8,IF($D108=2,S$9,S$10))</f>
        <v>30</v>
      </c>
      <c r="T109" s="283"/>
      <c r="U109" s="141">
        <f>IF($D108=1,U$8,IF($D108=2,U$9,IF($D108=3,U$10)))</f>
        <v>365</v>
      </c>
      <c r="V109" s="132">
        <v>45499.0</v>
      </c>
      <c r="W109" s="137">
        <f>IF($D108=1,W$8,IF($D108=2,W$9,IF($D108=3,W$10)))</f>
        <v>365</v>
      </c>
      <c r="X109" s="139"/>
      <c r="Y109" s="131">
        <f>IF($D108=1,Y$8,IF($D108=2,Y$9,IF($D108=3,Y$10)))</f>
        <v>365</v>
      </c>
      <c r="Z109" s="139"/>
      <c r="AA109" s="131">
        <f>IF($D108=1,AA$8,IF($D108=2,AA$9,IF($D108=3,AA$10)))</f>
        <v>365</v>
      </c>
      <c r="AB109" s="139"/>
      <c r="AC109" s="131">
        <f>IF($D108=1,AC$8,IF($D108=2,AC$9,IF($D108=3,AC$10)))</f>
        <v>365</v>
      </c>
      <c r="AD109" s="139"/>
      <c r="AE109" s="131">
        <f>IF($D108=1,AE$8,IF($D108=2,AE$9,IF($D108=3,AE$10)))</f>
        <v>365</v>
      </c>
      <c r="AF109" s="139"/>
      <c r="AG109" s="131">
        <f>IF($D108=1,AG$8,IF($D108=2,AG$9,IF($D108=3,AG$10)))</f>
        <v>365</v>
      </c>
      <c r="AH109" s="139"/>
      <c r="AI109" s="131">
        <f>IF($D108=1,AI$8,IF($D108=2,AI$9,IF($D108=3,AI$10)))</f>
        <v>365</v>
      </c>
      <c r="AJ109" s="139"/>
      <c r="AK109" s="131">
        <f>IF($D108=1,AK$8,IF($D108=2,AK$9,IF($D108=3,AK$10)))</f>
        <v>365</v>
      </c>
      <c r="AL109" s="140">
        <v>45720.0</v>
      </c>
      <c r="AM109" s="141">
        <f>IF($D108=1,AM$8,IF($D108=2,AM$9,IF($D108=3,AM$10)))</f>
        <v>365</v>
      </c>
      <c r="AN109" s="139">
        <v>45653.0</v>
      </c>
      <c r="AO109" s="131">
        <f>IF($D108=1,AO$8,IF($D108=2,AO$9,IF($D108=3,AO$10)))</f>
        <v>184</v>
      </c>
      <c r="AP109" s="138">
        <v>45764.0</v>
      </c>
      <c r="AQ109" s="131">
        <f>IF($D108=1,AQ$8,IF($D108=2,AQ$9,IF($D108=3,AQ$10)))</f>
        <v>365</v>
      </c>
      <c r="AR109" s="138">
        <v>45477.0</v>
      </c>
      <c r="AS109" s="131">
        <f>IF($D108=1,AS$8,IF($D108=2,AS$9,IF($D108=3,AS$10)))</f>
        <v>365</v>
      </c>
      <c r="AT109" s="139">
        <v>45817.0</v>
      </c>
      <c r="AU109" s="131">
        <f>IF($D108=1,AU$8,IF($D108=2,AU$9,IF($D108=3,AU$10)))</f>
        <v>1095</v>
      </c>
      <c r="AV109" s="140" t="s">
        <v>65</v>
      </c>
      <c r="AW109" s="141">
        <f>IF($D108=1,AW$8,IF($D108=2,AW$9,IF($D108=3,AW$10)))</f>
        <v>365</v>
      </c>
      <c r="AX109" s="139"/>
      <c r="AY109" s="131">
        <f>IF($D108=1,AY$8,IF($D108=2,AY$9,IF($D108=3,AY$10)))</f>
        <v>365</v>
      </c>
      <c r="AZ109" s="139"/>
      <c r="BA109" s="131">
        <f>IF($D108=1,BA$8,IF($D108=2,BA$9,IF($D108=3,BA$10)))</f>
        <v>122</v>
      </c>
      <c r="BB109" s="139"/>
      <c r="BC109" s="131">
        <f>IF($D108=1,BC$8,IF($D108=2,BC$9,IF($D108=3,BC$10)))</f>
        <v>184</v>
      </c>
      <c r="BD109" s="139"/>
      <c r="BE109" s="131">
        <f>IF($D108=1,BE$8,IF($D108=2,BE$9,IF($D108=3,BE$10)))</f>
        <v>184</v>
      </c>
      <c r="BF109" s="139"/>
      <c r="BG109" s="131">
        <f>IF($D108=1,BG$8,IF($D108=2,BG$9,IF($D108=3,BG$10)))</f>
        <v>365</v>
      </c>
      <c r="BH109" s="142"/>
      <c r="BI109" s="143">
        <f>IF($D108=1,BI$8,IF($D108=2,BI$9,IF($D108=3,BI$10)))</f>
        <v>184</v>
      </c>
      <c r="BJ109" s="142"/>
      <c r="BK109" s="22"/>
    </row>
    <row r="110" ht="4.5" hidden="1" customHeight="1">
      <c r="A110" s="23"/>
      <c r="B110" s="24"/>
      <c r="C110" s="24"/>
      <c r="D110" s="24"/>
      <c r="E110" s="123"/>
      <c r="F110" s="26"/>
      <c r="G110" s="24"/>
      <c r="H110" s="144"/>
      <c r="I110" s="145">
        <f>IF(AND(J108=1,OR($G108="вп",$G108="вд",$G108="шп",$G108="оа")),1,0)</f>
        <v>0</v>
      </c>
      <c r="J110" s="146">
        <f>IF(J109="",0,IF($C$2&lt;(I109+J109)-15,2,IF($C$2&lt;(I109+J109),1,"0")))</f>
        <v>0</v>
      </c>
      <c r="K110" s="147"/>
      <c r="L110" s="148">
        <f>IF(L109="",0,IF($C$2&lt;(K109+L109)-15,2,IF($C$2&lt;(K109+L109),1,"0")))</f>
        <v>0</v>
      </c>
      <c r="M110" s="147"/>
      <c r="N110" s="146">
        <f>IF(N109="",0,IF($C$2&lt;(M109+N109)-15,2,IF($C$2&lt;(M109+N109),1,"0")))</f>
        <v>0</v>
      </c>
      <c r="O110" s="149"/>
      <c r="P110" s="146">
        <f>IF(P109="",0,IF($C$2&lt;(O109+P109)-15,2,IF($C$2&lt;(O109+P109),1,"0")))</f>
        <v>0</v>
      </c>
      <c r="Q110" s="149"/>
      <c r="R110" s="172">
        <f>IF(R109="",0,IF($C$2&lt;(Q109+R109)-15,2,IF($C$2&lt;(Q109+R109),1,"0")))</f>
        <v>0</v>
      </c>
      <c r="S110" s="262"/>
      <c r="T110" s="171">
        <f>IF(T109="",0,IF($C$2&lt;(S109+T109)-15,2,IF($C$2&lt;(S109+T109),1,"0")))</f>
        <v>0</v>
      </c>
      <c r="U110" s="154"/>
      <c r="V110" s="151"/>
      <c r="W110" s="145"/>
      <c r="X110" s="26"/>
      <c r="Y110" s="150"/>
      <c r="Z110" s="26"/>
      <c r="AA110" s="150"/>
      <c r="AB110" s="26"/>
      <c r="AC110" s="150"/>
      <c r="AD110" s="26"/>
      <c r="AE110" s="150"/>
      <c r="AF110" s="26"/>
      <c r="AG110" s="150"/>
      <c r="AH110" s="26"/>
      <c r="AI110" s="150"/>
      <c r="AJ110" s="26"/>
      <c r="AK110" s="150"/>
      <c r="AL110" s="33"/>
      <c r="AM110" s="154"/>
      <c r="AN110" s="26"/>
      <c r="AO110" s="150"/>
      <c r="AP110" s="146" t="str">
        <f>IF(AP109 = "",0,IF($C$2&lt;(AO109+AP109)-15,2,IF($C$2&lt;(AO109+AP109),1,"0")))</f>
        <v>0</v>
      </c>
      <c r="AQ110" s="150"/>
      <c r="AR110" s="146" t="str">
        <f>IF(AR109 = "",0,IF($C$2&lt;(AQ109+AR109)-15,2,IF($C$2&lt;(AQ109+AR109),1,"0")))</f>
        <v>0</v>
      </c>
      <c r="AS110" s="150"/>
      <c r="AT110" s="26"/>
      <c r="AU110" s="150"/>
      <c r="AV110" s="33"/>
      <c r="AW110" s="154"/>
      <c r="AX110" s="26"/>
      <c r="AY110" s="150"/>
      <c r="AZ110" s="26"/>
      <c r="BA110" s="150"/>
      <c r="BB110" s="26"/>
      <c r="BC110" s="150"/>
      <c r="BD110" s="26"/>
      <c r="BE110" s="150"/>
      <c r="BF110" s="26"/>
      <c r="BG110" s="150"/>
      <c r="BI110" s="155"/>
      <c r="BK110" s="22"/>
    </row>
    <row r="111" ht="4.5" hidden="1" customHeight="1">
      <c r="A111" s="23"/>
      <c r="B111" s="24"/>
      <c r="C111" s="24"/>
      <c r="D111" s="24"/>
      <c r="E111" s="123"/>
      <c r="F111" s="26"/>
      <c r="G111" s="24"/>
      <c r="H111" s="156"/>
      <c r="I111" s="110">
        <v>1.0</v>
      </c>
      <c r="J111" s="115">
        <f>IF(OR(J113=1,J113=2),1,0)</f>
        <v>0</v>
      </c>
      <c r="K111" s="110">
        <v>1.0</v>
      </c>
      <c r="L111" s="157">
        <f>IF(OR(L113=1,L113=2),1,0)</f>
        <v>0</v>
      </c>
      <c r="M111" s="110">
        <v>1.0</v>
      </c>
      <c r="N111" s="117">
        <f>IF(OR(N113=1,N113=2),1,0)</f>
        <v>0</v>
      </c>
      <c r="O111" s="110">
        <v>1.0</v>
      </c>
      <c r="P111" s="115">
        <f>IF(OR(P113=1,P113=2),1,0)</f>
        <v>0</v>
      </c>
      <c r="Q111" s="110">
        <v>1.0</v>
      </c>
      <c r="R111" s="117">
        <f>IF(OR(R113=1,R113=2),1,0)</f>
        <v>0</v>
      </c>
      <c r="S111" s="264">
        <v>1.0</v>
      </c>
      <c r="T111" s="119">
        <f>IF(OR(T113=1,T113=2),1,0)</f>
        <v>0</v>
      </c>
      <c r="U111" s="120"/>
      <c r="V111" s="151"/>
      <c r="W111" s="118"/>
      <c r="X111" s="26"/>
      <c r="Y111" s="114"/>
      <c r="Z111" s="26"/>
      <c r="AA111" s="114"/>
      <c r="AB111" s="26"/>
      <c r="AC111" s="114"/>
      <c r="AD111" s="26"/>
      <c r="AE111" s="114"/>
      <c r="AF111" s="26"/>
      <c r="AG111" s="114"/>
      <c r="AH111" s="26"/>
      <c r="AI111" s="114"/>
      <c r="AJ111" s="26"/>
      <c r="AK111" s="114"/>
      <c r="AL111" s="33"/>
      <c r="AM111" s="120"/>
      <c r="AN111" s="26"/>
      <c r="AO111" s="114"/>
      <c r="AP111" s="115"/>
      <c r="AQ111" s="114"/>
      <c r="AR111" s="115"/>
      <c r="AS111" s="114"/>
      <c r="AT111" s="26"/>
      <c r="AU111" s="114"/>
      <c r="AV111" s="33"/>
      <c r="AW111" s="120"/>
      <c r="AX111" s="26"/>
      <c r="AY111" s="114"/>
      <c r="AZ111" s="26"/>
      <c r="BA111" s="114"/>
      <c r="BB111" s="26"/>
      <c r="BC111" s="114"/>
      <c r="BD111" s="26"/>
      <c r="BE111" s="114"/>
      <c r="BF111" s="26"/>
      <c r="BG111" s="114"/>
      <c r="BI111" s="121"/>
      <c r="BK111" s="22"/>
    </row>
    <row r="112" ht="11.25" hidden="1" customHeight="1">
      <c r="A112" s="23"/>
      <c r="B112" s="24"/>
      <c r="C112" s="24"/>
      <c r="D112" s="24"/>
      <c r="E112" s="123"/>
      <c r="F112" s="26"/>
      <c r="G112" s="24"/>
      <c r="H112" s="124"/>
      <c r="I112" s="125">
        <f>I109</f>
        <v>76</v>
      </c>
      <c r="J112" s="281"/>
      <c r="K112" s="285">
        <f>K109</f>
        <v>61</v>
      </c>
      <c r="L112" s="281"/>
      <c r="M112" s="285">
        <f>M109</f>
        <v>46</v>
      </c>
      <c r="N112" s="281"/>
      <c r="O112" s="284">
        <f>O109</f>
        <v>61</v>
      </c>
      <c r="P112" s="138"/>
      <c r="Q112" s="285">
        <f>Q109</f>
        <v>46</v>
      </c>
      <c r="R112" s="281"/>
      <c r="S112" s="284">
        <f>S109</f>
        <v>30</v>
      </c>
      <c r="T112" s="283"/>
      <c r="U112" s="141">
        <f>U109</f>
        <v>365</v>
      </c>
      <c r="V112" s="151"/>
      <c r="W112" s="137">
        <f>IF($D108=1,W$8,IF($D108=2,W$9,IF($D108=3,W$10)))</f>
        <v>365</v>
      </c>
      <c r="X112" s="26"/>
      <c r="Y112" s="131">
        <f>IF($D108=1,Y$8,IF($D108=2,Y$9,IF($D108=3,Y$10)))</f>
        <v>365</v>
      </c>
      <c r="Z112" s="26"/>
      <c r="AA112" s="131">
        <f>IF($D108=1,AA$8,IF($D108=2,AA$9,IF($D108=3,AA$10)))</f>
        <v>365</v>
      </c>
      <c r="AB112" s="26"/>
      <c r="AC112" s="131">
        <f>IF($D108=1,AC$8,IF($D108=2,AC$9,IF($D108=3,AC$10)))</f>
        <v>365</v>
      </c>
      <c r="AD112" s="26"/>
      <c r="AE112" s="131">
        <f>AE109</f>
        <v>365</v>
      </c>
      <c r="AF112" s="26"/>
      <c r="AG112" s="131">
        <f>AG109</f>
        <v>365</v>
      </c>
      <c r="AH112" s="26"/>
      <c r="AI112" s="131">
        <f>AI109</f>
        <v>365</v>
      </c>
      <c r="AJ112" s="26"/>
      <c r="AK112" s="131">
        <f>AK109</f>
        <v>365</v>
      </c>
      <c r="AL112" s="33"/>
      <c r="AM112" s="141">
        <f>AM109</f>
        <v>365</v>
      </c>
      <c r="AN112" s="26"/>
      <c r="AO112" s="131" t="b">
        <f>IF($D111=1,AO$8,IF($D111=2,AO$9,IF($D111=3,AO$10)))</f>
        <v>0</v>
      </c>
      <c r="AP112" s="138"/>
      <c r="AQ112" s="131" t="b">
        <f>IF($D111=1,AQ$8,IF($D111=2,AQ$9,IF($D111=3,AQ$10)))</f>
        <v>0</v>
      </c>
      <c r="AR112" s="138">
        <v>45673.0</v>
      </c>
      <c r="AS112" s="131" t="b">
        <f>IF($D111=1,AS$8,IF($D111=2,AS$9,IF($D111=3,AS$10)))</f>
        <v>0</v>
      </c>
      <c r="AT112" s="26"/>
      <c r="AU112" s="131" t="b">
        <f>IF($D111=1,AU$8,IF($D111=2,AU$9,IF($D111=3,AU$10)))</f>
        <v>0</v>
      </c>
      <c r="AV112" s="33"/>
      <c r="AW112" s="141">
        <f>IF($D108=1,AW$8,IF($D108=2,AW$9,IF($D108=3,AW$10)))</f>
        <v>365</v>
      </c>
      <c r="AX112" s="26"/>
      <c r="AY112" s="131">
        <f>IF($D108=1,AY$8,IF($D108=2,AY$9,IF($D108=3,AY$10)))</f>
        <v>365</v>
      </c>
      <c r="AZ112" s="26"/>
      <c r="BA112" s="131">
        <f>IF($D108=1,BA$8,IF($D108=2,BA$9,IF($D108=3,BA$10)))</f>
        <v>122</v>
      </c>
      <c r="BB112" s="26"/>
      <c r="BC112" s="131">
        <f>IF($D108=1,BC$8,IF($D108=2,BC$9,IF($D108=3,BC$10)))</f>
        <v>184</v>
      </c>
      <c r="BD112" s="26"/>
      <c r="BE112" s="131">
        <f>BE109</f>
        <v>184</v>
      </c>
      <c r="BF112" s="26"/>
      <c r="BG112" s="131">
        <f>BG109</f>
        <v>365</v>
      </c>
      <c r="BI112" s="143">
        <f>BI109</f>
        <v>184</v>
      </c>
      <c r="BK112" s="22"/>
    </row>
    <row r="113" ht="4.5" hidden="1" customHeight="1">
      <c r="A113" s="59"/>
      <c r="B113" s="60"/>
      <c r="C113" s="167"/>
      <c r="D113" s="60"/>
      <c r="E113" s="168"/>
      <c r="F113" s="65"/>
      <c r="G113" s="60"/>
      <c r="H113" s="144"/>
      <c r="I113" s="145">
        <f>IF(AND(J108=1,OR($G108="вп",$G108="вд",$G108="шп",$G108="оа")),1,0)</f>
        <v>0</v>
      </c>
      <c r="J113" s="146">
        <f>IF(J112="",0,IF($C$2&lt;(I112+J112)-15,2,IF($C$2&lt;(I112+J112),1,"0")))</f>
        <v>0</v>
      </c>
      <c r="K113" s="147"/>
      <c r="L113" s="148">
        <f>IF(L112="",0,IF($C$2&lt;(K112+L112)-15,2,IF($C$2&lt;(K112+L112),1,"0")))</f>
        <v>0</v>
      </c>
      <c r="M113" s="147"/>
      <c r="N113" s="146">
        <f>IF(N112="",0,IF($C$2&lt;(M112+N112)-15,2,IF($C$2&lt;(M112+N112),1,"0")))</f>
        <v>0</v>
      </c>
      <c r="O113" s="149"/>
      <c r="P113" s="146">
        <f>IF(P112="",0,IF($C$2&lt;(O112+P112)-15,2,IF($C$2&lt;(O112+P112),1,"0")))</f>
        <v>0</v>
      </c>
      <c r="Q113" s="149"/>
      <c r="R113" s="172">
        <f>IF(R112="",0,IF($C$2&lt;(Q112+R112)-15,2,IF($C$2&lt;(Q112+R112),1,"0")))</f>
        <v>0</v>
      </c>
      <c r="S113" s="262"/>
      <c r="T113" s="171">
        <f>IF(T112="",0,IF($C$2&lt;(S112+T112)-15,2,IF($C$2&lt;(S112+T112),1,"0")))</f>
        <v>0</v>
      </c>
      <c r="U113" s="147"/>
      <c r="V113" s="146" t="str">
        <f>IF(V109 = "",0,IF($C$2&lt;(U109+V109)-15,2,IF($C$2&lt;(U109+V109),1,"0")))</f>
        <v>0</v>
      </c>
      <c r="W113" s="145"/>
      <c r="X113" s="146">
        <f>IF(X109 = "",0,IF($C$2&lt;(W109+X109)-15,2,IF($C$2&lt;(W109+X109),1,"0")))</f>
        <v>0</v>
      </c>
      <c r="Y113" s="147"/>
      <c r="Z113" s="146">
        <f>IF(Z109 = "",0,IF($C$2&lt;(Y109+Z109)-15,2,IF($C$2&lt;(Y109+Z109),1,"0")))</f>
        <v>0</v>
      </c>
      <c r="AA113" s="147"/>
      <c r="AB113" s="146">
        <f>IF(AB109 = "",0,IF($C$2&lt;(AA109+AB109)-15,2,IF($C$2&lt;(AA109+AB109),1,"0")))</f>
        <v>0</v>
      </c>
      <c r="AC113" s="147"/>
      <c r="AD113" s="146">
        <f>IF(AD109 = "",0,IF($C$2&lt;(AC109+AD109)-15,2,IF($C$2&lt;(AC109+AD109),1,"0")))</f>
        <v>0</v>
      </c>
      <c r="AE113" s="147"/>
      <c r="AF113" s="146">
        <f>IF(AF109 = "",0,IF($C$2&lt;(AE109+AF109)-15,2,IF($C$2&lt;(AE109+AF109),1,"0")))</f>
        <v>0</v>
      </c>
      <c r="AG113" s="147"/>
      <c r="AH113" s="146">
        <f>IF(AH109 = "",0,IF($C$2&lt;(AG109+AH109)-15,2,IF($C$2&lt;(AG109+AH109),1,"0")))</f>
        <v>0</v>
      </c>
      <c r="AI113" s="147"/>
      <c r="AJ113" s="146">
        <f>IF(AJ109 = "",0,IF($C$2&lt;(AI109+AJ109)-15,2,IF($C$2&lt;(AI109+AJ109),1,"0")))</f>
        <v>0</v>
      </c>
      <c r="AK113" s="147"/>
      <c r="AL113" s="171">
        <f>IF(AL109 = "",0,IF($C$2&lt;(AK109+AL109)-15,2,IF($C$2&lt;(AK109+AL109),1,"0")))</f>
        <v>2</v>
      </c>
      <c r="AM113" s="147"/>
      <c r="AN113" s="146" t="str">
        <f>IF(AN109 = "",0,IF($C$2&lt;(AM109+AN109)-15,2,IF($C$2&lt;(AM109+AN109),1,"0")))</f>
        <v>0</v>
      </c>
      <c r="AO113" s="150"/>
      <c r="AP113" s="146">
        <f>IF(AP112 = "",0,IF($C$2&lt;(AO109+AP112)-15,2,IF($C$2&lt;(AO109+AP112),1,"0")))</f>
        <v>0</v>
      </c>
      <c r="AQ113" s="150"/>
      <c r="AR113" s="146" t="str">
        <f>IF(AR112 = "",0,IF($C$2&lt;(AQ109+AR112)-15,2,IF($C$2&lt;(AQ109+AR112),1,"0")))</f>
        <v>0</v>
      </c>
      <c r="AS113" s="150"/>
      <c r="AT113" s="146">
        <f>IF(AT109 = "",0,IF($C$2&lt;(AS109+AT109)-15,2,IF($C$2&lt;(AS109+AT109),1,"0")))</f>
        <v>2</v>
      </c>
      <c r="AU113" s="150"/>
      <c r="AV113" s="171" t="str">
        <f>IF(AV109 = "",0,IF($C$2&lt;(AU109+AV109)-15,2,IF($C$2&lt;(AU109+AV109),1,"0")))</f>
        <v>#VALUE!</v>
      </c>
      <c r="AW113" s="154"/>
      <c r="AX113" s="146">
        <f>IF(AX109 = "",0,IF($C$2&lt;(AW109+AX109)-15,2,IF($C$2&lt;(AW109+AX109),1,"0")))</f>
        <v>0</v>
      </c>
      <c r="AY113" s="147"/>
      <c r="AZ113" s="146">
        <f>IF(AZ109 = "",0,IF($C$2&lt;(AY109+AZ109)-15,2,IF($C$2&lt;(AY109+AZ109),1,"0")))</f>
        <v>0</v>
      </c>
      <c r="BA113" s="147"/>
      <c r="BB113" s="146">
        <f>IF(BB109 = "",0,IF($C$2&lt;(BA109+BB109)-15,2,IF($C$2&lt;(BA109+BB109),1,"0")))</f>
        <v>0</v>
      </c>
      <c r="BC113" s="147"/>
      <c r="BD113" s="146">
        <f>IF(BD109 = "",0,IF($C$2&lt;(BC109+BD109)-15,2,IF($C$2&lt;(BC109+BD109),1,"0")))</f>
        <v>0</v>
      </c>
      <c r="BE113" s="147"/>
      <c r="BF113" s="146">
        <f>IF(BF109 = "",0,IF($C$2&lt;(BE109+BF109)-15,2,IF($C$2&lt;(BE109+BF109),1,"0")))</f>
        <v>0</v>
      </c>
      <c r="BG113" s="147"/>
      <c r="BH113" s="172">
        <f>IF(BH109 = "",0,IF($C$2&lt;(BG109+BH109)-15,2,IF($C$2&lt;(BG109+BH109),1,"0")))</f>
        <v>0</v>
      </c>
      <c r="BI113" s="173"/>
      <c r="BJ113" s="172">
        <f>IF(BJ109 = "",0,IF($C$2&lt;(BI109+BJ109)-15,2,IF($C$2&lt;(BI109+BJ109),1,"0")))</f>
        <v>0</v>
      </c>
      <c r="BK113" s="22"/>
    </row>
    <row r="114" ht="4.5" hidden="1" customHeight="1">
      <c r="A114" s="103">
        <v>14.0</v>
      </c>
      <c r="B114" s="104" t="s">
        <v>96</v>
      </c>
      <c r="C114" s="174"/>
      <c r="D114" s="106"/>
      <c r="E114" s="107">
        <v>1.0</v>
      </c>
      <c r="F114" s="184">
        <f>IF(E114=1,1.5,1)</f>
        <v>1.5</v>
      </c>
      <c r="G114" s="220" t="s">
        <v>97</v>
      </c>
      <c r="H114" s="109" t="s">
        <v>98</v>
      </c>
      <c r="I114" s="110">
        <v>1.0</v>
      </c>
      <c r="J114" s="111">
        <f>IF(OR(J116=1,J116=2),1,0)</f>
        <v>0</v>
      </c>
      <c r="K114" s="110">
        <v>1.0</v>
      </c>
      <c r="L114" s="175">
        <f>IF(OR(L116=1,L116=2),1,0)</f>
        <v>0</v>
      </c>
      <c r="M114" s="110">
        <v>1.0</v>
      </c>
      <c r="N114" s="112">
        <f>IF(OR(N116=1,N116=2),1,0)</f>
        <v>0</v>
      </c>
      <c r="O114" s="110">
        <v>1.0</v>
      </c>
      <c r="P114" s="111">
        <f>IF(OR(P116=1,P116=2),1,0)</f>
        <v>0</v>
      </c>
      <c r="Q114" s="110">
        <v>1.0</v>
      </c>
      <c r="R114" s="112">
        <f>IF(OR(R116=1,R116=2),1,0)</f>
        <v>0</v>
      </c>
      <c r="S114" s="264">
        <v>1.0</v>
      </c>
      <c r="T114" s="246">
        <f>IF(OR(T116=1,T116=2),1,0)</f>
        <v>0</v>
      </c>
      <c r="U114" s="120"/>
      <c r="V114" s="115"/>
      <c r="W114" s="118"/>
      <c r="X114" s="115"/>
      <c r="Y114" s="114"/>
      <c r="Z114" s="115"/>
      <c r="AA114" s="114"/>
      <c r="AB114" s="115"/>
      <c r="AC114" s="114"/>
      <c r="AD114" s="115"/>
      <c r="AE114" s="114"/>
      <c r="AF114" s="115"/>
      <c r="AG114" s="114"/>
      <c r="AH114" s="115"/>
      <c r="AI114" s="114"/>
      <c r="AJ114" s="115"/>
      <c r="AK114" s="114"/>
      <c r="AL114" s="119"/>
      <c r="AM114" s="120"/>
      <c r="AN114" s="115"/>
      <c r="AO114" s="114"/>
      <c r="AP114" s="115"/>
      <c r="AQ114" s="114"/>
      <c r="AR114" s="115"/>
      <c r="AS114" s="114"/>
      <c r="AT114" s="115"/>
      <c r="AU114" s="114"/>
      <c r="AV114" s="119"/>
      <c r="AW114" s="120"/>
      <c r="AX114" s="115"/>
      <c r="AY114" s="114"/>
      <c r="AZ114" s="115"/>
      <c r="BA114" s="114"/>
      <c r="BB114" s="115"/>
      <c r="BC114" s="114"/>
      <c r="BD114" s="115"/>
      <c r="BE114" s="114"/>
      <c r="BF114" s="115"/>
      <c r="BG114" s="114"/>
      <c r="BH114" s="117"/>
      <c r="BI114" s="121"/>
      <c r="BJ114" s="117"/>
      <c r="BK114" s="22"/>
    </row>
    <row r="115" ht="11.25" hidden="1" customHeight="1">
      <c r="A115" s="23"/>
      <c r="B115" s="24"/>
      <c r="C115" s="122" t="s">
        <v>99</v>
      </c>
      <c r="D115" s="24"/>
      <c r="E115" s="123"/>
      <c r="F115" s="26"/>
      <c r="G115" s="24"/>
      <c r="H115" s="124"/>
      <c r="I115" s="125">
        <f>IF($D114=1,I$8,IF($D114=2,I$9,I$10))</f>
        <v>76</v>
      </c>
      <c r="J115" s="281"/>
      <c r="K115" s="282">
        <f>IF($D114=1,K$8,IF($D114=2,K$9,K$10))</f>
        <v>61</v>
      </c>
      <c r="L115" s="138"/>
      <c r="M115" s="282">
        <f>IF($D114=1,M$8,IF($D114=2,M$9,M$10))</f>
        <v>46</v>
      </c>
      <c r="N115" s="283"/>
      <c r="O115" s="282">
        <f>IF($D114=1,O$8,IF($D114=2,O$9,O$10))</f>
        <v>61</v>
      </c>
      <c r="P115" s="281"/>
      <c r="Q115" s="282">
        <f>IF($D114=1,Q$8,IF($D114=2,Q$9,Q$10))</f>
        <v>46</v>
      </c>
      <c r="R115" s="281"/>
      <c r="S115" s="284">
        <f>IF($D114=1,S$8,IF($D114=2,S$9,S$10))</f>
        <v>30</v>
      </c>
      <c r="T115" s="283"/>
      <c r="U115" s="141" t="b">
        <f>IF($D114=1,U$8,IF($D114=2,U$9,IF($D114=3,U$10)))</f>
        <v>0</v>
      </c>
      <c r="V115" s="132"/>
      <c r="W115" s="137">
        <f>IF($D114=1,W$8,IF($D114=2,W$9,W$10))</f>
        <v>365</v>
      </c>
      <c r="X115" s="139"/>
      <c r="Y115" s="137">
        <f>IF($D114=1,Y$8,IF($D114=2,Y$9,Y$10))</f>
        <v>365</v>
      </c>
      <c r="Z115" s="139"/>
      <c r="AA115" s="137">
        <f>IF($D114=1,AA$8,IF($D114=2,AA$9,AA$10))</f>
        <v>365</v>
      </c>
      <c r="AB115" s="139"/>
      <c r="AC115" s="137">
        <f>IF($D114=1,AC$8,IF($D114=2,AC$9,AC$10))</f>
        <v>365</v>
      </c>
      <c r="AD115" s="139"/>
      <c r="AE115" s="137">
        <f>IF($D114=1,AE$8,IF($D114=2,AE$9,AE$10))</f>
        <v>365</v>
      </c>
      <c r="AF115" s="139"/>
      <c r="AG115" s="137">
        <f>IF($D114=1,AG$8,IF($D114=2,AG$9,AG$10))</f>
        <v>365</v>
      </c>
      <c r="AH115" s="139"/>
      <c r="AI115" s="137">
        <f>IF($D114=1,AI$8,IF($D114=2,AI$9,AI$10))</f>
        <v>365</v>
      </c>
      <c r="AJ115" s="139"/>
      <c r="AK115" s="137">
        <f>IF($D114=1,AK$8,IF($D114=2,AK$9,AK$10))</f>
        <v>365</v>
      </c>
      <c r="AL115" s="140">
        <v>45719.0</v>
      </c>
      <c r="AM115" s="141">
        <f>IF($D114=1,AM$8,IF($D114=2,AM$9,AM$10))</f>
        <v>365</v>
      </c>
      <c r="AN115" s="139">
        <v>45650.0</v>
      </c>
      <c r="AO115" s="137">
        <f>IF($D114=1,AO$8,IF($D114=2,AO$9,AO$10))</f>
        <v>184</v>
      </c>
      <c r="AP115" s="138">
        <v>45641.0</v>
      </c>
      <c r="AQ115" s="137">
        <f>IF($D114=1,AQ$8,IF($D114=2,AQ$9,AQ$10))</f>
        <v>365</v>
      </c>
      <c r="AR115" s="138">
        <v>45435.0</v>
      </c>
      <c r="AS115" s="137">
        <f>IF($D114=1,AS$8,IF($D114=2,AS$9,AS$10))</f>
        <v>365</v>
      </c>
      <c r="AT115" s="139">
        <v>45431.0</v>
      </c>
      <c r="AU115" s="131">
        <f>IF($D114=1,AU$8,IF($D114=2,AU$9,AU$10))</f>
        <v>1095</v>
      </c>
      <c r="AV115" s="140">
        <v>45387.0</v>
      </c>
      <c r="AW115" s="141">
        <f>IF($D114=1,AW$8,IF($D114=2,AW$9,AW$10))</f>
        <v>365</v>
      </c>
      <c r="AX115" s="139"/>
      <c r="AY115" s="137">
        <f>IF($D114=1,AY$8,IF($D114=2,AY$9,AY$10))</f>
        <v>365</v>
      </c>
      <c r="AZ115" s="139"/>
      <c r="BA115" s="137">
        <f>IF($D114=1,BA$8,IF($D114=2,BA$9,BA$10))</f>
        <v>122</v>
      </c>
      <c r="BB115" s="139"/>
      <c r="BC115" s="137">
        <f>IF($D114=1,BC$8,IF($D114=2,BC$9,BC$10))</f>
        <v>184</v>
      </c>
      <c r="BD115" s="139"/>
      <c r="BE115" s="137">
        <f>IF($D114=1,BE$8,IF($D114=2,BE$9,BE$10))</f>
        <v>184</v>
      </c>
      <c r="BF115" s="139"/>
      <c r="BG115" s="137">
        <f>IF($D114=1,BG$8,IF($D114=2,BG$9,BG$10))</f>
        <v>365</v>
      </c>
      <c r="BH115" s="142"/>
      <c r="BI115" s="143">
        <f>IF($D114=1,BI$8,IF($D114=2,BI$9,BI$10))</f>
        <v>184</v>
      </c>
      <c r="BJ115" s="142"/>
      <c r="BK115" s="22"/>
    </row>
    <row r="116" ht="4.5" hidden="1" customHeight="1">
      <c r="A116" s="23"/>
      <c r="B116" s="24"/>
      <c r="C116" s="24"/>
      <c r="D116" s="24"/>
      <c r="E116" s="123"/>
      <c r="F116" s="26"/>
      <c r="G116" s="24"/>
      <c r="H116" s="144"/>
      <c r="I116" s="145">
        <f>IF(AND(J114=1,OR($G114="вп",$G114="вд",$G114="шп",$G114="оа")),1,0)</f>
        <v>0</v>
      </c>
      <c r="J116" s="146">
        <f>IF(J115="",0,IF($C$2&lt;(I115+J115)-15,2,IF($C$2&lt;(I115+J115),1,"0")))</f>
        <v>0</v>
      </c>
      <c r="K116" s="147"/>
      <c r="L116" s="148">
        <f>IF(L115="",0,IF($C$2&lt;(K115+L115)-15,2,IF($C$2&lt;(K115+L115),1,"0")))</f>
        <v>0</v>
      </c>
      <c r="M116" s="147"/>
      <c r="N116" s="146">
        <f>IF(N115="",0,IF($C$2&lt;(M115+N115)-15,2,IF($C$2&lt;(M115+N115),1,"0")))</f>
        <v>0</v>
      </c>
      <c r="O116" s="149"/>
      <c r="P116" s="146">
        <f>IF(P115="",0,IF($C$2&lt;(O115+P115)-15,2,IF($C$2&lt;(O115+P115),1,"0")))</f>
        <v>0</v>
      </c>
      <c r="Q116" s="149"/>
      <c r="R116" s="172">
        <f>IF(R115="",0,IF($C$2&lt;(Q115+R115)-15,2,IF($C$2&lt;(Q115+R115),1,"0")))</f>
        <v>0</v>
      </c>
      <c r="S116" s="262"/>
      <c r="T116" s="171">
        <f>IF(T115="",0,IF($C$2&lt;(S115+T115)-15,2,IF($C$2&lt;(S115+T115),1,"0")))</f>
        <v>0</v>
      </c>
      <c r="U116" s="154"/>
      <c r="V116" s="151"/>
      <c r="W116" s="145"/>
      <c r="X116" s="26"/>
      <c r="Y116" s="150"/>
      <c r="Z116" s="26"/>
      <c r="AA116" s="150"/>
      <c r="AB116" s="26"/>
      <c r="AC116" s="150"/>
      <c r="AD116" s="26"/>
      <c r="AE116" s="150"/>
      <c r="AF116" s="26"/>
      <c r="AG116" s="150"/>
      <c r="AH116" s="26"/>
      <c r="AI116" s="150"/>
      <c r="AJ116" s="26"/>
      <c r="AK116" s="150"/>
      <c r="AL116" s="33"/>
      <c r="AM116" s="154"/>
      <c r="AN116" s="26"/>
      <c r="AO116" s="150"/>
      <c r="AP116" s="146" t="str">
        <f>IF(AP115 = "",0,IF($C$2&lt;(AO115+AP115)-15,2,IF($C$2&lt;(AO115+AP115),1,"0")))</f>
        <v>0</v>
      </c>
      <c r="AQ116" s="150"/>
      <c r="AR116" s="146" t="str">
        <f>IF(AR115 = "",0,IF($C$2&lt;(AQ115+AR115)-15,2,IF($C$2&lt;(AQ115+AR115),1,"0")))</f>
        <v>0</v>
      </c>
      <c r="AS116" s="150"/>
      <c r="AT116" s="26"/>
      <c r="AU116" s="150"/>
      <c r="AV116" s="33"/>
      <c r="AW116" s="154"/>
      <c r="AX116" s="26"/>
      <c r="AY116" s="150"/>
      <c r="AZ116" s="26"/>
      <c r="BA116" s="150"/>
      <c r="BB116" s="26"/>
      <c r="BC116" s="150"/>
      <c r="BD116" s="26"/>
      <c r="BE116" s="150"/>
      <c r="BF116" s="26"/>
      <c r="BG116" s="150"/>
      <c r="BI116" s="155"/>
      <c r="BK116" s="22"/>
    </row>
    <row r="117" ht="4.5" hidden="1" customHeight="1">
      <c r="A117" s="23"/>
      <c r="B117" s="24"/>
      <c r="C117" s="24"/>
      <c r="D117" s="24"/>
      <c r="E117" s="123"/>
      <c r="F117" s="26"/>
      <c r="G117" s="24"/>
      <c r="H117" s="156"/>
      <c r="I117" s="110">
        <v>1.0</v>
      </c>
      <c r="J117" s="115">
        <f>IF(OR(J119=1,J119=2),1,0)</f>
        <v>0</v>
      </c>
      <c r="K117" s="110">
        <v>1.0</v>
      </c>
      <c r="L117" s="157">
        <f>IF(OR(L119=1,L119=2),1,0)</f>
        <v>0</v>
      </c>
      <c r="M117" s="110">
        <v>1.0</v>
      </c>
      <c r="N117" s="117">
        <f>IF(OR(N119=1,N119=2),1,0)</f>
        <v>0</v>
      </c>
      <c r="O117" s="110">
        <v>1.0</v>
      </c>
      <c r="P117" s="115">
        <f>IF(OR(P119=1,P119=2),1,0)</f>
        <v>0</v>
      </c>
      <c r="Q117" s="110">
        <v>1.0</v>
      </c>
      <c r="R117" s="117">
        <f>IF(OR(R119=1,R119=2),1,0)</f>
        <v>0</v>
      </c>
      <c r="S117" s="264">
        <v>1.0</v>
      </c>
      <c r="T117" s="119">
        <f>IF(OR(T119=1,T119=2),1,0)</f>
        <v>0</v>
      </c>
      <c r="U117" s="120"/>
      <c r="V117" s="151"/>
      <c r="W117" s="118"/>
      <c r="X117" s="26"/>
      <c r="Y117" s="114"/>
      <c r="Z117" s="26"/>
      <c r="AA117" s="114"/>
      <c r="AB117" s="26"/>
      <c r="AC117" s="114"/>
      <c r="AD117" s="26"/>
      <c r="AE117" s="114"/>
      <c r="AF117" s="26"/>
      <c r="AG117" s="114"/>
      <c r="AH117" s="26"/>
      <c r="AI117" s="114"/>
      <c r="AJ117" s="26"/>
      <c r="AK117" s="114"/>
      <c r="AL117" s="33"/>
      <c r="AM117" s="120"/>
      <c r="AN117" s="26"/>
      <c r="AO117" s="114"/>
      <c r="AP117" s="115"/>
      <c r="AQ117" s="114"/>
      <c r="AR117" s="115"/>
      <c r="AS117" s="114"/>
      <c r="AT117" s="26"/>
      <c r="AU117" s="114"/>
      <c r="AV117" s="33"/>
      <c r="AW117" s="120"/>
      <c r="AX117" s="26"/>
      <c r="AY117" s="114"/>
      <c r="AZ117" s="26"/>
      <c r="BA117" s="114"/>
      <c r="BB117" s="26"/>
      <c r="BC117" s="114"/>
      <c r="BD117" s="26"/>
      <c r="BE117" s="114"/>
      <c r="BF117" s="26"/>
      <c r="BG117" s="114"/>
      <c r="BI117" s="121"/>
      <c r="BK117" s="22"/>
    </row>
    <row r="118" ht="11.25" hidden="1" customHeight="1">
      <c r="A118" s="23"/>
      <c r="B118" s="24"/>
      <c r="C118" s="24"/>
      <c r="D118" s="24"/>
      <c r="E118" s="123"/>
      <c r="F118" s="26"/>
      <c r="G118" s="24"/>
      <c r="H118" s="124"/>
      <c r="I118" s="125">
        <f>I115</f>
        <v>76</v>
      </c>
      <c r="J118" s="281"/>
      <c r="K118" s="285">
        <f>K115</f>
        <v>61</v>
      </c>
      <c r="L118" s="281"/>
      <c r="M118" s="285">
        <f>M115</f>
        <v>46</v>
      </c>
      <c r="N118" s="281"/>
      <c r="O118" s="284">
        <f>O115</f>
        <v>61</v>
      </c>
      <c r="P118" s="138"/>
      <c r="Q118" s="285">
        <f>Q115</f>
        <v>46</v>
      </c>
      <c r="R118" s="281"/>
      <c r="S118" s="284">
        <f>S115</f>
        <v>30</v>
      </c>
      <c r="T118" s="283"/>
      <c r="U118" s="141" t="b">
        <f>U115</f>
        <v>0</v>
      </c>
      <c r="V118" s="151"/>
      <c r="W118" s="137" t="b">
        <f>IF($D114=1,W$8,IF($D114=2,W$9,IF($D114=3,W$10)))</f>
        <v>0</v>
      </c>
      <c r="X118" s="26"/>
      <c r="Y118" s="131" t="b">
        <f>IF($D114=1,Y$8,IF($D114=2,Y$9,IF($D114=3,Y$10)))</f>
        <v>0</v>
      </c>
      <c r="Z118" s="26"/>
      <c r="AA118" s="131" t="b">
        <f>IF($D114=1,AA$8,IF($D114=2,AA$9,IF($D114=3,AA$10)))</f>
        <v>0</v>
      </c>
      <c r="AB118" s="26"/>
      <c r="AC118" s="131" t="b">
        <f>IF($D114=1,AC$8,IF($D114=2,AC$9,IF($D114=3,AC$10)))</f>
        <v>0</v>
      </c>
      <c r="AD118" s="26"/>
      <c r="AE118" s="131">
        <f>AE115</f>
        <v>365</v>
      </c>
      <c r="AF118" s="26"/>
      <c r="AG118" s="131">
        <f>AG115</f>
        <v>365</v>
      </c>
      <c r="AH118" s="26"/>
      <c r="AI118" s="131">
        <f>AI115</f>
        <v>365</v>
      </c>
      <c r="AJ118" s="26"/>
      <c r="AK118" s="131">
        <f>AK115</f>
        <v>365</v>
      </c>
      <c r="AL118" s="33"/>
      <c r="AM118" s="141">
        <f>AM115</f>
        <v>365</v>
      </c>
      <c r="AN118" s="26"/>
      <c r="AO118" s="131">
        <f>AO115</f>
        <v>184</v>
      </c>
      <c r="AP118" s="138"/>
      <c r="AQ118" s="131">
        <f>AQ115</f>
        <v>365</v>
      </c>
      <c r="AR118" s="138">
        <v>45624.0</v>
      </c>
      <c r="AS118" s="131" t="b">
        <f>IF($D117=1,AS$8,IF($D117=2,AS$9,IF($D117=3,AS$10)))</f>
        <v>0</v>
      </c>
      <c r="AT118" s="26"/>
      <c r="AU118" s="131" t="b">
        <f>IF($D117=1,AU$8,IF($D117=2,AU$9,IF($D117=3,AU$10)))</f>
        <v>0</v>
      </c>
      <c r="AV118" s="33"/>
      <c r="AW118" s="141" t="b">
        <f>IF($D114=1,AW$8,IF($D114=2,AW$9,IF($D114=3,AW$10)))</f>
        <v>0</v>
      </c>
      <c r="AX118" s="26"/>
      <c r="AY118" s="131" t="b">
        <f>IF($D114=1,AY$8,IF($D114=2,AY$9,IF($D114=3,AY$10)))</f>
        <v>0</v>
      </c>
      <c r="AZ118" s="26"/>
      <c r="BA118" s="131" t="b">
        <f>IF($D114=1,BA$8,IF($D114=2,BA$9,IF($D114=3,BA$10)))</f>
        <v>0</v>
      </c>
      <c r="BB118" s="26"/>
      <c r="BC118" s="131" t="b">
        <f>IF($D114=1,BC$8,IF($D114=2,BC$9,IF($D114=3,BC$10)))</f>
        <v>0</v>
      </c>
      <c r="BD118" s="26"/>
      <c r="BE118" s="131">
        <f>BE115</f>
        <v>184</v>
      </c>
      <c r="BF118" s="26"/>
      <c r="BG118" s="131">
        <f>BG115</f>
        <v>365</v>
      </c>
      <c r="BI118" s="143">
        <f>BI115</f>
        <v>184</v>
      </c>
      <c r="BK118" s="22"/>
    </row>
    <row r="119" ht="4.5" hidden="1" customHeight="1">
      <c r="A119" s="286"/>
      <c r="B119" s="287"/>
      <c r="C119" s="288"/>
      <c r="D119" s="287"/>
      <c r="E119" s="289"/>
      <c r="F119" s="68"/>
      <c r="G119" s="287"/>
      <c r="H119" s="290"/>
      <c r="I119" s="291">
        <f>IF(AND(J114=1,OR($G114="вп",$G114="вд",$G114="шп",$G114="оа")),1,0)</f>
        <v>0</v>
      </c>
      <c r="J119" s="278">
        <f>IF(J118="",0,IF($C$2&lt;(I118+J118)-15,2,IF($C$2&lt;(I118+J118),1,"0")))</f>
        <v>0</v>
      </c>
      <c r="K119" s="279"/>
      <c r="L119" s="292">
        <f>IF(L118="",0,IF($C$2&lt;(K118+L118)-15,2,IF($C$2&lt;(K118+L118),1,"0")))</f>
        <v>0</v>
      </c>
      <c r="M119" s="279"/>
      <c r="N119" s="278">
        <f>IF(N118="",0,IF($C$2&lt;(M118+N118)-15,2,IF($C$2&lt;(M118+N118),1,"0")))</f>
        <v>0</v>
      </c>
      <c r="O119" s="293"/>
      <c r="P119" s="278">
        <f>IF(P118="",0,IF($C$2&lt;(O118+P118)-15,2,IF($C$2&lt;(O118+P118),1,"0")))</f>
        <v>0</v>
      </c>
      <c r="Q119" s="293"/>
      <c r="R119" s="294">
        <f>IF(R118="",0,IF($C$2&lt;(Q118+R118)-15,2,IF($C$2&lt;(Q118+R118),1,"0")))</f>
        <v>0</v>
      </c>
      <c r="S119" s="295"/>
      <c r="T119" s="280">
        <f>IF(T118="",0,IF($C$2&lt;(S118+T118)-15,2,IF($C$2&lt;(S118+T118),1,"0")))</f>
        <v>0</v>
      </c>
      <c r="U119" s="279"/>
      <c r="V119" s="278">
        <f>IF(V115 = "",0,IF($C$2&lt;(U115+V115)-15,2,IF($C$2&lt;(U115+V115),1,"0")))</f>
        <v>0</v>
      </c>
      <c r="W119" s="291"/>
      <c r="X119" s="278">
        <f>IF(X115 = "",0,IF($C$2&lt;(W115+X115)-15,2,IF($C$2&lt;(W115+X115),1,"0")))</f>
        <v>0</v>
      </c>
      <c r="Y119" s="279"/>
      <c r="Z119" s="278">
        <f>IF(Z115 = "",0,IF($C$2&lt;(Y115+Z115)-15,2,IF($C$2&lt;(Y115+Z115),1,"0")))</f>
        <v>0</v>
      </c>
      <c r="AA119" s="279"/>
      <c r="AB119" s="278">
        <f>IF(AB115 = "",0,IF($C$2&lt;(AA115+AB115)-15,2,IF($C$2&lt;(AA115+AB115),1,"0")))</f>
        <v>0</v>
      </c>
      <c r="AC119" s="279"/>
      <c r="AD119" s="278">
        <f>IF(AD115 = "",0,IF($C$2&lt;(AC115+AD115)-15,2,IF($C$2&lt;(AC115+AD115),1,"0")))</f>
        <v>0</v>
      </c>
      <c r="AE119" s="279"/>
      <c r="AF119" s="278">
        <f>IF(AF115 = "",0,IF($C$2&lt;(AE115+AF115)-15,2,IF($C$2&lt;(AE115+AF115),1,"0")))</f>
        <v>0</v>
      </c>
      <c r="AG119" s="279"/>
      <c r="AH119" s="278">
        <f>IF(AH115 = "",0,IF($C$2&lt;(AG115+AH115)-15,2,IF($C$2&lt;(AG115+AH115),1,"0")))</f>
        <v>0</v>
      </c>
      <c r="AI119" s="279"/>
      <c r="AJ119" s="278">
        <f>IF(AJ115 = "",0,IF($C$2&lt;(AI115+AJ115)-15,2,IF($C$2&lt;(AI115+AJ115),1,"0")))</f>
        <v>0</v>
      </c>
      <c r="AK119" s="279"/>
      <c r="AL119" s="280">
        <f>IF(AL115 = "",0,IF($C$2&lt;(AK115+AL115)-15,2,IF($C$2&lt;(AK115+AL115),1,"0")))</f>
        <v>2</v>
      </c>
      <c r="AM119" s="279"/>
      <c r="AN119" s="278" t="str">
        <f>IF(AN115 = "",0,IF($C$2&lt;(AM115+AN115)-15,2,IF($C$2&lt;(AM115+AN115),1,"0")))</f>
        <v>0</v>
      </c>
      <c r="AO119" s="296"/>
      <c r="AP119" s="278">
        <f>IF(AP118 = "",0,IF($C$2&lt;(AO115+AP118)-15,2,IF($C$2&lt;(AO115+AP118),1,"0")))</f>
        <v>0</v>
      </c>
      <c r="AQ119" s="296"/>
      <c r="AR119" s="278" t="str">
        <f>IF(AR118 = "",0,IF($C$2&lt;(AQ115+AR118)-15,2,IF($C$2&lt;(AQ115+AR118),1,"0")))</f>
        <v>0</v>
      </c>
      <c r="AS119" s="296"/>
      <c r="AT119" s="278" t="str">
        <f>IF(AT115 = "",0,IF($C$2&lt;(AS115+AT115)-15,2,IF($C$2&lt;(AS115+AT115),1,"0")))</f>
        <v>0</v>
      </c>
      <c r="AU119" s="296"/>
      <c r="AV119" s="280">
        <f>IF(AV115 = "",0,IF($C$2&lt;(AU115+AV115)-15,2,IF($C$2&lt;(AU115+AV115),1,"0")))</f>
        <v>2</v>
      </c>
      <c r="AW119" s="297"/>
      <c r="AX119" s="278">
        <f>IF(AX115 = "",0,IF($C$2&lt;(AW115+AX115)-15,2,IF($C$2&lt;(AW115+AX115),1,"0")))</f>
        <v>0</v>
      </c>
      <c r="AY119" s="279"/>
      <c r="AZ119" s="278">
        <f>IF(AZ115 = "",0,IF($C$2&lt;(AY115+AZ115)-15,2,IF($C$2&lt;(AY115+AZ115),1,"0")))</f>
        <v>0</v>
      </c>
      <c r="BA119" s="279"/>
      <c r="BB119" s="278">
        <f>IF(BB115 = "",0,IF($C$2&lt;(BA115+BB115)-15,2,IF($C$2&lt;(BA115+BB115),1,"0")))</f>
        <v>0</v>
      </c>
      <c r="BC119" s="279"/>
      <c r="BD119" s="278">
        <f>IF(BD115 = "",0,IF($C$2&lt;(BC115+BD115)-15,2,IF($C$2&lt;(BC115+BD115),1,"0")))</f>
        <v>0</v>
      </c>
      <c r="BE119" s="279"/>
      <c r="BF119" s="278">
        <f>IF(BF115 = "",0,IF($C$2&lt;(BE115+BF115)-15,2,IF($C$2&lt;(BE115+BF115),1,"0")))</f>
        <v>0</v>
      </c>
      <c r="BG119" s="279"/>
      <c r="BH119" s="294">
        <f>IF(BH115 = "",0,IF($C$2&lt;(BG115+BH115)-15,2,IF($C$2&lt;(BG115+BH115),1,"0")))</f>
        <v>0</v>
      </c>
      <c r="BI119" s="298"/>
      <c r="BJ119" s="294">
        <f>IF(BJ115 = "",0,IF($C$2&lt;(BI115+BJ115)-15,2,IF($C$2&lt;(BI115+BJ115),1,"0")))</f>
        <v>0</v>
      </c>
      <c r="BK119" s="22"/>
    </row>
    <row r="120" ht="3.75" hidden="1" customHeight="1">
      <c r="A120" s="299"/>
      <c r="B120" s="300"/>
      <c r="C120" s="301"/>
      <c r="D120" s="217"/>
      <c r="E120" s="302"/>
      <c r="F120" s="219"/>
      <c r="G120" s="303"/>
      <c r="H120" s="221"/>
      <c r="I120" s="304"/>
      <c r="J120" s="223"/>
      <c r="K120" s="304"/>
      <c r="L120" s="223"/>
      <c r="M120" s="302"/>
      <c r="N120" s="225"/>
      <c r="O120" s="305"/>
      <c r="P120" s="223"/>
      <c r="Q120" s="302"/>
      <c r="R120" s="225"/>
      <c r="S120" s="305"/>
      <c r="T120" s="226"/>
      <c r="U120" s="227"/>
      <c r="V120" s="223"/>
      <c r="W120" s="229"/>
      <c r="X120" s="223"/>
      <c r="Y120" s="229"/>
      <c r="Z120" s="223"/>
      <c r="AA120" s="229"/>
      <c r="AB120" s="223"/>
      <c r="AC120" s="229"/>
      <c r="AD120" s="223"/>
      <c r="AE120" s="229"/>
      <c r="AF120" s="223"/>
      <c r="AG120" s="229"/>
      <c r="AH120" s="223"/>
      <c r="AI120" s="229"/>
      <c r="AJ120" s="223"/>
      <c r="AK120" s="229"/>
      <c r="AL120" s="226"/>
      <c r="AM120" s="227"/>
      <c r="AN120" s="223"/>
      <c r="AO120" s="229"/>
      <c r="AP120" s="223"/>
      <c r="AQ120" s="229"/>
      <c r="AR120" s="223"/>
      <c r="AS120" s="229"/>
      <c r="AT120" s="223"/>
      <c r="AU120" s="229"/>
      <c r="AV120" s="226"/>
      <c r="AW120" s="227"/>
      <c r="AX120" s="223"/>
      <c r="AY120" s="229"/>
      <c r="AZ120" s="223"/>
      <c r="BA120" s="229"/>
      <c r="BB120" s="223"/>
      <c r="BC120" s="229"/>
      <c r="BD120" s="223"/>
      <c r="BE120" s="229"/>
      <c r="BF120" s="223"/>
      <c r="BG120" s="229"/>
      <c r="BH120" s="225"/>
      <c r="BI120" s="230"/>
      <c r="BJ120" s="225"/>
      <c r="BK120" s="22"/>
    </row>
    <row r="121" ht="11.25" hidden="1" customHeight="1">
      <c r="A121" s="306"/>
      <c r="B121" s="24"/>
      <c r="C121" s="307"/>
      <c r="D121" s="24"/>
      <c r="E121" s="308"/>
      <c r="F121" s="26"/>
      <c r="G121" s="303"/>
      <c r="H121" s="124"/>
      <c r="I121" s="125"/>
      <c r="J121" s="309"/>
      <c r="K121" s="310"/>
      <c r="L121" s="309"/>
      <c r="M121" s="310"/>
      <c r="N121" s="311"/>
      <c r="O121" s="312"/>
      <c r="P121" s="309"/>
      <c r="Q121" s="310"/>
      <c r="R121" s="311"/>
      <c r="S121" s="312"/>
      <c r="T121" s="313"/>
      <c r="U121" s="141"/>
      <c r="V121" s="138"/>
      <c r="W121" s="131"/>
      <c r="X121" s="138"/>
      <c r="Y121" s="131"/>
      <c r="Z121" s="138"/>
      <c r="AA121" s="131"/>
      <c r="AB121" s="138"/>
      <c r="AC121" s="131"/>
      <c r="AD121" s="138"/>
      <c r="AE121" s="131"/>
      <c r="AF121" s="138"/>
      <c r="AG121" s="131"/>
      <c r="AH121" s="138"/>
      <c r="AI121" s="131"/>
      <c r="AJ121" s="138"/>
      <c r="AK121" s="131"/>
      <c r="AL121" s="283"/>
      <c r="AM121" s="141"/>
      <c r="AN121" s="138"/>
      <c r="AO121" s="131"/>
      <c r="AP121" s="138"/>
      <c r="AQ121" s="131"/>
      <c r="AR121" s="138"/>
      <c r="AS121" s="131"/>
      <c r="AT121" s="138"/>
      <c r="AU121" s="131"/>
      <c r="AV121" s="283"/>
      <c r="AW121" s="141"/>
      <c r="AX121" s="138"/>
      <c r="AY121" s="131"/>
      <c r="AZ121" s="138"/>
      <c r="BA121" s="131"/>
      <c r="BB121" s="138"/>
      <c r="BC121" s="131"/>
      <c r="BD121" s="138"/>
      <c r="BE121" s="131"/>
      <c r="BF121" s="138"/>
      <c r="BG121" s="131"/>
      <c r="BH121" s="281"/>
      <c r="BI121" s="143"/>
      <c r="BJ121" s="281"/>
      <c r="BK121" s="22"/>
    </row>
    <row r="122" ht="4.5" hidden="1" customHeight="1">
      <c r="A122" s="314"/>
      <c r="B122" s="60"/>
      <c r="C122" s="315"/>
      <c r="D122" s="60"/>
      <c r="E122" s="316"/>
      <c r="F122" s="65"/>
      <c r="G122" s="317"/>
      <c r="H122" s="144"/>
      <c r="I122" s="145"/>
      <c r="J122" s="149"/>
      <c r="K122" s="150"/>
      <c r="L122" s="149"/>
      <c r="M122" s="150"/>
      <c r="N122" s="318"/>
      <c r="O122" s="155"/>
      <c r="P122" s="149"/>
      <c r="Q122" s="150"/>
      <c r="R122" s="318"/>
      <c r="S122" s="155"/>
      <c r="T122" s="319"/>
      <c r="U122" s="154"/>
      <c r="V122" s="146"/>
      <c r="W122" s="150"/>
      <c r="X122" s="146"/>
      <c r="Y122" s="150"/>
      <c r="Z122" s="146"/>
      <c r="AA122" s="150"/>
      <c r="AB122" s="146"/>
      <c r="AC122" s="150"/>
      <c r="AD122" s="146"/>
      <c r="AE122" s="150"/>
      <c r="AF122" s="146"/>
      <c r="AG122" s="150"/>
      <c r="AH122" s="146"/>
      <c r="AI122" s="150"/>
      <c r="AJ122" s="146"/>
      <c r="AK122" s="150"/>
      <c r="AL122" s="319"/>
      <c r="AM122" s="154"/>
      <c r="AN122" s="146"/>
      <c r="AO122" s="150"/>
      <c r="AP122" s="146"/>
      <c r="AQ122" s="150"/>
      <c r="AR122" s="146"/>
      <c r="AS122" s="150"/>
      <c r="AT122" s="146"/>
      <c r="AU122" s="150"/>
      <c r="AV122" s="171"/>
      <c r="AW122" s="154"/>
      <c r="AX122" s="146"/>
      <c r="AY122" s="150"/>
      <c r="AZ122" s="146"/>
      <c r="BA122" s="150"/>
      <c r="BB122" s="146"/>
      <c r="BC122" s="150"/>
      <c r="BD122" s="146"/>
      <c r="BE122" s="150"/>
      <c r="BF122" s="146"/>
      <c r="BG122" s="150"/>
      <c r="BH122" s="172"/>
      <c r="BI122" s="155"/>
      <c r="BJ122" s="172"/>
      <c r="BK122" s="22"/>
    </row>
    <row r="123" ht="4.5" hidden="1" customHeight="1">
      <c r="A123" s="320"/>
      <c r="B123" s="321"/>
      <c r="C123" s="322"/>
      <c r="D123" s="323"/>
      <c r="E123" s="324"/>
      <c r="F123" s="184"/>
      <c r="G123" s="325"/>
      <c r="H123" s="156"/>
      <c r="I123" s="326"/>
      <c r="J123" s="115"/>
      <c r="K123" s="324"/>
      <c r="L123" s="115"/>
      <c r="M123" s="324"/>
      <c r="N123" s="117"/>
      <c r="O123" s="327"/>
      <c r="P123" s="115"/>
      <c r="Q123" s="324"/>
      <c r="R123" s="117"/>
      <c r="S123" s="327"/>
      <c r="T123" s="119"/>
      <c r="U123" s="120"/>
      <c r="V123" s="115"/>
      <c r="W123" s="114"/>
      <c r="X123" s="115"/>
      <c r="Y123" s="114"/>
      <c r="Z123" s="115"/>
      <c r="AA123" s="114"/>
      <c r="AB123" s="115"/>
      <c r="AC123" s="114"/>
      <c r="AD123" s="115"/>
      <c r="AE123" s="114"/>
      <c r="AF123" s="115"/>
      <c r="AG123" s="114"/>
      <c r="AH123" s="115"/>
      <c r="AI123" s="114"/>
      <c r="AJ123" s="115"/>
      <c r="AK123" s="114"/>
      <c r="AL123" s="119"/>
      <c r="AM123" s="120"/>
      <c r="AN123" s="115"/>
      <c r="AO123" s="114"/>
      <c r="AP123" s="115"/>
      <c r="AQ123" s="114"/>
      <c r="AR123" s="115"/>
      <c r="AS123" s="114"/>
      <c r="AT123" s="115"/>
      <c r="AU123" s="114"/>
      <c r="AV123" s="119"/>
      <c r="AW123" s="120"/>
      <c r="AX123" s="115"/>
      <c r="AY123" s="114"/>
      <c r="AZ123" s="115"/>
      <c r="BA123" s="114"/>
      <c r="BB123" s="115"/>
      <c r="BC123" s="114"/>
      <c r="BD123" s="115"/>
      <c r="BE123" s="114"/>
      <c r="BF123" s="115"/>
      <c r="BG123" s="114"/>
      <c r="BH123" s="117"/>
      <c r="BI123" s="121"/>
      <c r="BJ123" s="117"/>
      <c r="BK123" s="22"/>
    </row>
    <row r="124" ht="11.25" hidden="1" customHeight="1">
      <c r="A124" s="306"/>
      <c r="B124" s="24"/>
      <c r="C124" s="301"/>
      <c r="D124" s="24"/>
      <c r="E124" s="308"/>
      <c r="F124" s="26"/>
      <c r="G124" s="303"/>
      <c r="H124" s="124"/>
      <c r="I124" s="125"/>
      <c r="J124" s="309"/>
      <c r="K124" s="310"/>
      <c r="L124" s="309"/>
      <c r="M124" s="310"/>
      <c r="N124" s="311"/>
      <c r="O124" s="312"/>
      <c r="P124" s="309"/>
      <c r="Q124" s="310"/>
      <c r="R124" s="311"/>
      <c r="S124" s="312"/>
      <c r="T124" s="313"/>
      <c r="U124" s="141"/>
      <c r="V124" s="138"/>
      <c r="W124" s="131"/>
      <c r="X124" s="138"/>
      <c r="Y124" s="131"/>
      <c r="Z124" s="138"/>
      <c r="AA124" s="131"/>
      <c r="AB124" s="138"/>
      <c r="AC124" s="131"/>
      <c r="AD124" s="138"/>
      <c r="AE124" s="131"/>
      <c r="AF124" s="138"/>
      <c r="AG124" s="131"/>
      <c r="AH124" s="138"/>
      <c r="AI124" s="131"/>
      <c r="AJ124" s="138"/>
      <c r="AK124" s="131"/>
      <c r="AL124" s="283"/>
      <c r="AM124" s="141"/>
      <c r="AN124" s="138"/>
      <c r="AO124" s="131"/>
      <c r="AP124" s="138"/>
      <c r="AQ124" s="131"/>
      <c r="AR124" s="138"/>
      <c r="AS124" s="131"/>
      <c r="AT124" s="138"/>
      <c r="AU124" s="131"/>
      <c r="AV124" s="283"/>
      <c r="AW124" s="141"/>
      <c r="AX124" s="138"/>
      <c r="AY124" s="131"/>
      <c r="AZ124" s="138"/>
      <c r="BA124" s="131"/>
      <c r="BB124" s="138"/>
      <c r="BC124" s="131"/>
      <c r="BD124" s="138"/>
      <c r="BE124" s="131"/>
      <c r="BF124" s="138"/>
      <c r="BG124" s="131"/>
      <c r="BH124" s="281"/>
      <c r="BI124" s="143"/>
      <c r="BJ124" s="281"/>
      <c r="BK124" s="22"/>
    </row>
    <row r="125" ht="4.5" hidden="1" customHeight="1">
      <c r="A125" s="314"/>
      <c r="B125" s="60"/>
      <c r="C125" s="315"/>
      <c r="D125" s="60"/>
      <c r="E125" s="316"/>
      <c r="F125" s="65"/>
      <c r="G125" s="317"/>
      <c r="H125" s="144"/>
      <c r="I125" s="145"/>
      <c r="J125" s="149"/>
      <c r="K125" s="150"/>
      <c r="L125" s="149"/>
      <c r="M125" s="150"/>
      <c r="N125" s="318"/>
      <c r="O125" s="155"/>
      <c r="P125" s="149"/>
      <c r="Q125" s="150"/>
      <c r="R125" s="318"/>
      <c r="S125" s="155"/>
      <c r="T125" s="319"/>
      <c r="U125" s="154"/>
      <c r="V125" s="149"/>
      <c r="W125" s="150"/>
      <c r="X125" s="149"/>
      <c r="Y125" s="150"/>
      <c r="Z125" s="149"/>
      <c r="AA125" s="150"/>
      <c r="AB125" s="149"/>
      <c r="AC125" s="150"/>
      <c r="AD125" s="149"/>
      <c r="AE125" s="150"/>
      <c r="AF125" s="149"/>
      <c r="AG125" s="150"/>
      <c r="AH125" s="149"/>
      <c r="AI125" s="150"/>
      <c r="AJ125" s="149"/>
      <c r="AK125" s="150"/>
      <c r="AL125" s="319"/>
      <c r="AM125" s="154"/>
      <c r="AN125" s="149"/>
      <c r="AO125" s="150"/>
      <c r="AP125" s="149"/>
      <c r="AQ125" s="150"/>
      <c r="AR125" s="149"/>
      <c r="AS125" s="150"/>
      <c r="AT125" s="149"/>
      <c r="AU125" s="150"/>
      <c r="AV125" s="319"/>
      <c r="AW125" s="154"/>
      <c r="AX125" s="149"/>
      <c r="AY125" s="150"/>
      <c r="AZ125" s="149"/>
      <c r="BA125" s="150"/>
      <c r="BB125" s="149"/>
      <c r="BC125" s="150"/>
      <c r="BD125" s="149"/>
      <c r="BE125" s="150"/>
      <c r="BF125" s="149"/>
      <c r="BG125" s="150"/>
      <c r="BH125" s="318"/>
      <c r="BI125" s="155"/>
      <c r="BJ125" s="318"/>
      <c r="BK125" s="22"/>
    </row>
    <row r="126" ht="4.5" hidden="1" customHeight="1">
      <c r="A126" s="320"/>
      <c r="B126" s="321"/>
      <c r="C126" s="322"/>
      <c r="D126" s="323"/>
      <c r="E126" s="324"/>
      <c r="F126" s="184"/>
      <c r="G126" s="325"/>
      <c r="H126" s="156"/>
      <c r="I126" s="326"/>
      <c r="J126" s="115"/>
      <c r="K126" s="324"/>
      <c r="L126" s="115"/>
      <c r="M126" s="324"/>
      <c r="N126" s="117"/>
      <c r="O126" s="327"/>
      <c r="P126" s="115"/>
      <c r="Q126" s="324"/>
      <c r="R126" s="117"/>
      <c r="S126" s="327"/>
      <c r="T126" s="119"/>
      <c r="U126" s="120"/>
      <c r="V126" s="115"/>
      <c r="W126" s="114"/>
      <c r="X126" s="115"/>
      <c r="Y126" s="114"/>
      <c r="Z126" s="115"/>
      <c r="AA126" s="114"/>
      <c r="AB126" s="115"/>
      <c r="AC126" s="114"/>
      <c r="AD126" s="115"/>
      <c r="AE126" s="114"/>
      <c r="AF126" s="115"/>
      <c r="AG126" s="114"/>
      <c r="AH126" s="115"/>
      <c r="AI126" s="114"/>
      <c r="AJ126" s="115"/>
      <c r="AK126" s="114"/>
      <c r="AL126" s="119"/>
      <c r="AM126" s="120"/>
      <c r="AN126" s="115"/>
      <c r="AO126" s="114"/>
      <c r="AP126" s="115"/>
      <c r="AQ126" s="114"/>
      <c r="AR126" s="115"/>
      <c r="AS126" s="114"/>
      <c r="AT126" s="115"/>
      <c r="AU126" s="114"/>
      <c r="AV126" s="119"/>
      <c r="AW126" s="120"/>
      <c r="AX126" s="115"/>
      <c r="AY126" s="114"/>
      <c r="AZ126" s="115"/>
      <c r="BA126" s="114"/>
      <c r="BB126" s="115"/>
      <c r="BC126" s="114"/>
      <c r="BD126" s="115"/>
      <c r="BE126" s="114"/>
      <c r="BF126" s="115"/>
      <c r="BG126" s="114"/>
      <c r="BH126" s="117"/>
      <c r="BI126" s="121"/>
      <c r="BJ126" s="117"/>
      <c r="BK126" s="22"/>
    </row>
    <row r="127" ht="11.25" hidden="1" customHeight="1">
      <c r="A127" s="306"/>
      <c r="B127" s="24"/>
      <c r="C127" s="301"/>
      <c r="D127" s="24"/>
      <c r="E127" s="308"/>
      <c r="F127" s="26"/>
      <c r="G127" s="303"/>
      <c r="H127" s="124"/>
      <c r="I127" s="125"/>
      <c r="J127" s="309"/>
      <c r="K127" s="310"/>
      <c r="L127" s="309"/>
      <c r="M127" s="310"/>
      <c r="N127" s="311"/>
      <c r="O127" s="312"/>
      <c r="P127" s="309"/>
      <c r="Q127" s="310"/>
      <c r="R127" s="311"/>
      <c r="S127" s="312"/>
      <c r="T127" s="313"/>
      <c r="U127" s="141"/>
      <c r="V127" s="138"/>
      <c r="W127" s="131"/>
      <c r="X127" s="138"/>
      <c r="Y127" s="131"/>
      <c r="Z127" s="138"/>
      <c r="AA127" s="131"/>
      <c r="AB127" s="138"/>
      <c r="AC127" s="131"/>
      <c r="AD127" s="138"/>
      <c r="AE127" s="131"/>
      <c r="AF127" s="138"/>
      <c r="AG127" s="131"/>
      <c r="AH127" s="138"/>
      <c r="AI127" s="131"/>
      <c r="AJ127" s="138"/>
      <c r="AK127" s="131"/>
      <c r="AL127" s="283"/>
      <c r="AM127" s="141"/>
      <c r="AN127" s="138"/>
      <c r="AO127" s="131"/>
      <c r="AP127" s="138"/>
      <c r="AQ127" s="131"/>
      <c r="AR127" s="138"/>
      <c r="AS127" s="131"/>
      <c r="AT127" s="138"/>
      <c r="AU127" s="131"/>
      <c r="AV127" s="283"/>
      <c r="AW127" s="141"/>
      <c r="AX127" s="138"/>
      <c r="AY127" s="131"/>
      <c r="AZ127" s="138"/>
      <c r="BA127" s="131"/>
      <c r="BB127" s="138"/>
      <c r="BC127" s="131"/>
      <c r="BD127" s="138"/>
      <c r="BE127" s="131"/>
      <c r="BF127" s="138"/>
      <c r="BG127" s="131"/>
      <c r="BH127" s="281"/>
      <c r="BI127" s="143"/>
      <c r="BJ127" s="281"/>
      <c r="BK127" s="22"/>
    </row>
    <row r="128" ht="4.5" hidden="1" customHeight="1">
      <c r="A128" s="314"/>
      <c r="B128" s="60"/>
      <c r="C128" s="315"/>
      <c r="D128" s="60"/>
      <c r="E128" s="316"/>
      <c r="F128" s="65"/>
      <c r="G128" s="317"/>
      <c r="H128" s="144"/>
      <c r="I128" s="145"/>
      <c r="J128" s="149"/>
      <c r="K128" s="150"/>
      <c r="L128" s="149"/>
      <c r="M128" s="150"/>
      <c r="N128" s="318"/>
      <c r="O128" s="155"/>
      <c r="P128" s="149"/>
      <c r="Q128" s="150"/>
      <c r="R128" s="318"/>
      <c r="S128" s="155"/>
      <c r="T128" s="319"/>
      <c r="U128" s="154"/>
      <c r="V128" s="149"/>
      <c r="W128" s="150"/>
      <c r="X128" s="149"/>
      <c r="Y128" s="150"/>
      <c r="Z128" s="149"/>
      <c r="AA128" s="150"/>
      <c r="AB128" s="149"/>
      <c r="AC128" s="150"/>
      <c r="AD128" s="149"/>
      <c r="AE128" s="150"/>
      <c r="AF128" s="149"/>
      <c r="AG128" s="150"/>
      <c r="AH128" s="149"/>
      <c r="AI128" s="150"/>
      <c r="AJ128" s="149"/>
      <c r="AK128" s="150"/>
      <c r="AL128" s="319"/>
      <c r="AM128" s="154"/>
      <c r="AN128" s="149"/>
      <c r="AO128" s="150"/>
      <c r="AP128" s="149"/>
      <c r="AQ128" s="150"/>
      <c r="AR128" s="149"/>
      <c r="AS128" s="150"/>
      <c r="AT128" s="149"/>
      <c r="AU128" s="150"/>
      <c r="AV128" s="319"/>
      <c r="AW128" s="154"/>
      <c r="AX128" s="149"/>
      <c r="AY128" s="150"/>
      <c r="AZ128" s="149"/>
      <c r="BA128" s="150"/>
      <c r="BB128" s="149"/>
      <c r="BC128" s="150"/>
      <c r="BD128" s="149"/>
      <c r="BE128" s="150"/>
      <c r="BF128" s="149"/>
      <c r="BG128" s="150"/>
      <c r="BH128" s="318"/>
      <c r="BI128" s="155"/>
      <c r="BJ128" s="318"/>
      <c r="BK128" s="22"/>
    </row>
    <row r="129" ht="4.5" hidden="1" customHeight="1">
      <c r="A129" s="320"/>
      <c r="B129" s="321"/>
      <c r="C129" s="322"/>
      <c r="D129" s="323"/>
      <c r="E129" s="324"/>
      <c r="F129" s="184"/>
      <c r="G129" s="325"/>
      <c r="H129" s="156"/>
      <c r="I129" s="326"/>
      <c r="J129" s="115"/>
      <c r="K129" s="324"/>
      <c r="L129" s="115"/>
      <c r="M129" s="324"/>
      <c r="N129" s="117"/>
      <c r="O129" s="327"/>
      <c r="P129" s="115"/>
      <c r="Q129" s="324"/>
      <c r="R129" s="117"/>
      <c r="S129" s="327"/>
      <c r="T129" s="119"/>
      <c r="U129" s="120"/>
      <c r="V129" s="115"/>
      <c r="W129" s="114"/>
      <c r="X129" s="115"/>
      <c r="Y129" s="114"/>
      <c r="Z129" s="115"/>
      <c r="AA129" s="114"/>
      <c r="AB129" s="115"/>
      <c r="AC129" s="114"/>
      <c r="AD129" s="115"/>
      <c r="AE129" s="114"/>
      <c r="AF129" s="115"/>
      <c r="AG129" s="114"/>
      <c r="AH129" s="115"/>
      <c r="AI129" s="114"/>
      <c r="AJ129" s="115"/>
      <c r="AK129" s="114"/>
      <c r="AL129" s="119"/>
      <c r="AM129" s="120"/>
      <c r="AN129" s="115"/>
      <c r="AO129" s="114"/>
      <c r="AP129" s="115"/>
      <c r="AQ129" s="114"/>
      <c r="AR129" s="115"/>
      <c r="AS129" s="114"/>
      <c r="AT129" s="115"/>
      <c r="AU129" s="114"/>
      <c r="AV129" s="119"/>
      <c r="AW129" s="120"/>
      <c r="AX129" s="115"/>
      <c r="AY129" s="114"/>
      <c r="AZ129" s="115"/>
      <c r="BA129" s="114"/>
      <c r="BB129" s="115"/>
      <c r="BC129" s="114"/>
      <c r="BD129" s="115"/>
      <c r="BE129" s="114"/>
      <c r="BF129" s="115"/>
      <c r="BG129" s="114"/>
      <c r="BH129" s="117"/>
      <c r="BI129" s="121"/>
      <c r="BJ129" s="117"/>
      <c r="BK129" s="22"/>
    </row>
    <row r="130" ht="11.25" hidden="1" customHeight="1">
      <c r="A130" s="306"/>
      <c r="B130" s="24"/>
      <c r="C130" s="301"/>
      <c r="D130" s="24"/>
      <c r="E130" s="308"/>
      <c r="F130" s="26"/>
      <c r="G130" s="303"/>
      <c r="H130" s="124"/>
      <c r="I130" s="125"/>
      <c r="J130" s="309"/>
      <c r="K130" s="310"/>
      <c r="L130" s="309"/>
      <c r="M130" s="310"/>
      <c r="N130" s="311"/>
      <c r="O130" s="312"/>
      <c r="P130" s="309"/>
      <c r="Q130" s="310"/>
      <c r="R130" s="311"/>
      <c r="S130" s="312"/>
      <c r="T130" s="313"/>
      <c r="U130" s="141"/>
      <c r="V130" s="138"/>
      <c r="W130" s="131"/>
      <c r="X130" s="138"/>
      <c r="Y130" s="131"/>
      <c r="Z130" s="138"/>
      <c r="AA130" s="131"/>
      <c r="AB130" s="138"/>
      <c r="AC130" s="131"/>
      <c r="AD130" s="138"/>
      <c r="AE130" s="131"/>
      <c r="AF130" s="138"/>
      <c r="AG130" s="131"/>
      <c r="AH130" s="138"/>
      <c r="AI130" s="131"/>
      <c r="AJ130" s="138"/>
      <c r="AK130" s="131"/>
      <c r="AL130" s="283"/>
      <c r="AM130" s="141"/>
      <c r="AN130" s="138"/>
      <c r="AO130" s="131"/>
      <c r="AP130" s="138"/>
      <c r="AQ130" s="131"/>
      <c r="AR130" s="138"/>
      <c r="AS130" s="131"/>
      <c r="AT130" s="138"/>
      <c r="AU130" s="131"/>
      <c r="AV130" s="283"/>
      <c r="AW130" s="141"/>
      <c r="AX130" s="138"/>
      <c r="AY130" s="131"/>
      <c r="AZ130" s="138"/>
      <c r="BA130" s="131"/>
      <c r="BB130" s="138"/>
      <c r="BC130" s="131"/>
      <c r="BD130" s="138"/>
      <c r="BE130" s="131"/>
      <c r="BF130" s="138"/>
      <c r="BG130" s="131"/>
      <c r="BH130" s="281"/>
      <c r="BI130" s="143"/>
      <c r="BJ130" s="281"/>
      <c r="BK130" s="22"/>
    </row>
    <row r="131" ht="4.5" hidden="1" customHeight="1">
      <c r="A131" s="314"/>
      <c r="B131" s="60"/>
      <c r="C131" s="315"/>
      <c r="D131" s="60"/>
      <c r="E131" s="316"/>
      <c r="F131" s="65"/>
      <c r="G131" s="317"/>
      <c r="H131" s="144"/>
      <c r="I131" s="145"/>
      <c r="J131" s="149"/>
      <c r="K131" s="150"/>
      <c r="L131" s="149"/>
      <c r="M131" s="150"/>
      <c r="N131" s="318"/>
      <c r="O131" s="155"/>
      <c r="P131" s="149"/>
      <c r="Q131" s="150"/>
      <c r="R131" s="318"/>
      <c r="S131" s="155"/>
      <c r="T131" s="319"/>
      <c r="U131" s="154"/>
      <c r="V131" s="149"/>
      <c r="W131" s="150"/>
      <c r="X131" s="149"/>
      <c r="Y131" s="150"/>
      <c r="Z131" s="149"/>
      <c r="AA131" s="150"/>
      <c r="AB131" s="149"/>
      <c r="AC131" s="150"/>
      <c r="AD131" s="149"/>
      <c r="AE131" s="150"/>
      <c r="AF131" s="149"/>
      <c r="AG131" s="150"/>
      <c r="AH131" s="149"/>
      <c r="AI131" s="150"/>
      <c r="AJ131" s="149"/>
      <c r="AK131" s="150"/>
      <c r="AL131" s="319"/>
      <c r="AM131" s="154"/>
      <c r="AN131" s="149"/>
      <c r="AO131" s="150"/>
      <c r="AP131" s="149"/>
      <c r="AQ131" s="150"/>
      <c r="AR131" s="149"/>
      <c r="AS131" s="150"/>
      <c r="AT131" s="149"/>
      <c r="AU131" s="150"/>
      <c r="AV131" s="319"/>
      <c r="AW131" s="154"/>
      <c r="AX131" s="149"/>
      <c r="AY131" s="150"/>
      <c r="AZ131" s="149"/>
      <c r="BA131" s="150"/>
      <c r="BB131" s="149"/>
      <c r="BC131" s="150"/>
      <c r="BD131" s="149"/>
      <c r="BE131" s="150"/>
      <c r="BF131" s="149"/>
      <c r="BG131" s="150"/>
      <c r="BH131" s="318"/>
      <c r="BI131" s="155"/>
      <c r="BJ131" s="318"/>
      <c r="BK131" s="22"/>
    </row>
    <row r="132" ht="4.5" hidden="1" customHeight="1">
      <c r="A132" s="320"/>
      <c r="B132" s="321"/>
      <c r="C132" s="322"/>
      <c r="D132" s="323"/>
      <c r="E132" s="324"/>
      <c r="F132" s="184"/>
      <c r="G132" s="325"/>
      <c r="H132" s="156"/>
      <c r="I132" s="326"/>
      <c r="J132" s="115"/>
      <c r="K132" s="324"/>
      <c r="L132" s="115"/>
      <c r="M132" s="324"/>
      <c r="N132" s="117"/>
      <c r="O132" s="327"/>
      <c r="P132" s="115"/>
      <c r="Q132" s="324"/>
      <c r="R132" s="117"/>
      <c r="S132" s="327"/>
      <c r="T132" s="119"/>
      <c r="U132" s="120"/>
      <c r="V132" s="115"/>
      <c r="W132" s="114"/>
      <c r="X132" s="115"/>
      <c r="Y132" s="114"/>
      <c r="Z132" s="115"/>
      <c r="AA132" s="114"/>
      <c r="AB132" s="115"/>
      <c r="AC132" s="114"/>
      <c r="AD132" s="115"/>
      <c r="AE132" s="114"/>
      <c r="AF132" s="115"/>
      <c r="AG132" s="114"/>
      <c r="AH132" s="115"/>
      <c r="AI132" s="114"/>
      <c r="AJ132" s="115"/>
      <c r="AK132" s="114"/>
      <c r="AL132" s="119"/>
      <c r="AM132" s="120"/>
      <c r="AN132" s="115"/>
      <c r="AO132" s="114"/>
      <c r="AP132" s="115"/>
      <c r="AQ132" s="114"/>
      <c r="AR132" s="115"/>
      <c r="AS132" s="114"/>
      <c r="AT132" s="115"/>
      <c r="AU132" s="114"/>
      <c r="AV132" s="119"/>
      <c r="AW132" s="120"/>
      <c r="AX132" s="115"/>
      <c r="AY132" s="114"/>
      <c r="AZ132" s="115"/>
      <c r="BA132" s="114"/>
      <c r="BB132" s="115"/>
      <c r="BC132" s="114"/>
      <c r="BD132" s="115"/>
      <c r="BE132" s="114"/>
      <c r="BF132" s="115"/>
      <c r="BG132" s="114"/>
      <c r="BH132" s="117"/>
      <c r="BI132" s="121"/>
      <c r="BJ132" s="117"/>
      <c r="BK132" s="22"/>
    </row>
    <row r="133" ht="11.25" hidden="1" customHeight="1">
      <c r="A133" s="306"/>
      <c r="B133" s="24"/>
      <c r="C133" s="301"/>
      <c r="D133" s="24"/>
      <c r="E133" s="308"/>
      <c r="F133" s="26"/>
      <c r="G133" s="303"/>
      <c r="H133" s="124"/>
      <c r="I133" s="125"/>
      <c r="J133" s="309"/>
      <c r="K133" s="310"/>
      <c r="L133" s="309"/>
      <c r="M133" s="310"/>
      <c r="N133" s="311"/>
      <c r="O133" s="312"/>
      <c r="P133" s="309"/>
      <c r="Q133" s="310"/>
      <c r="R133" s="311"/>
      <c r="S133" s="312"/>
      <c r="T133" s="313"/>
      <c r="U133" s="141"/>
      <c r="V133" s="138"/>
      <c r="W133" s="131"/>
      <c r="X133" s="138"/>
      <c r="Y133" s="131"/>
      <c r="Z133" s="138"/>
      <c r="AA133" s="131"/>
      <c r="AB133" s="138"/>
      <c r="AC133" s="131"/>
      <c r="AD133" s="138"/>
      <c r="AE133" s="131"/>
      <c r="AF133" s="138"/>
      <c r="AG133" s="131"/>
      <c r="AH133" s="138"/>
      <c r="AI133" s="131"/>
      <c r="AJ133" s="138"/>
      <c r="AK133" s="131"/>
      <c r="AL133" s="283"/>
      <c r="AM133" s="141"/>
      <c r="AN133" s="138"/>
      <c r="AO133" s="131"/>
      <c r="AP133" s="138"/>
      <c r="AQ133" s="131"/>
      <c r="AR133" s="138"/>
      <c r="AS133" s="131"/>
      <c r="AT133" s="138"/>
      <c r="AU133" s="131"/>
      <c r="AV133" s="283"/>
      <c r="AW133" s="141"/>
      <c r="AX133" s="138"/>
      <c r="AY133" s="131"/>
      <c r="AZ133" s="138"/>
      <c r="BA133" s="131"/>
      <c r="BB133" s="138"/>
      <c r="BC133" s="131"/>
      <c r="BD133" s="138"/>
      <c r="BE133" s="131"/>
      <c r="BF133" s="138"/>
      <c r="BG133" s="131"/>
      <c r="BH133" s="281"/>
      <c r="BI133" s="143"/>
      <c r="BJ133" s="281"/>
      <c r="BK133" s="22"/>
    </row>
    <row r="134" ht="4.5" hidden="1" customHeight="1">
      <c r="A134" s="314"/>
      <c r="B134" s="24"/>
      <c r="C134" s="301"/>
      <c r="D134" s="60"/>
      <c r="E134" s="308"/>
      <c r="F134" s="26"/>
      <c r="G134" s="303"/>
      <c r="H134" s="328"/>
      <c r="I134" s="329"/>
      <c r="J134" s="223"/>
      <c r="K134" s="254"/>
      <c r="L134" s="223"/>
      <c r="M134" s="254"/>
      <c r="N134" s="225"/>
      <c r="O134" s="330"/>
      <c r="P134" s="223"/>
      <c r="Q134" s="254"/>
      <c r="R134" s="225"/>
      <c r="S134" s="330"/>
      <c r="T134" s="226"/>
      <c r="U134" s="297"/>
      <c r="V134" s="293"/>
      <c r="W134" s="296"/>
      <c r="X134" s="293"/>
      <c r="Y134" s="296"/>
      <c r="Z134" s="293"/>
      <c r="AA134" s="296"/>
      <c r="AB134" s="293"/>
      <c r="AC134" s="296"/>
      <c r="AD134" s="293"/>
      <c r="AE134" s="296"/>
      <c r="AF134" s="293"/>
      <c r="AG134" s="296"/>
      <c r="AH134" s="293"/>
      <c r="AI134" s="296"/>
      <c r="AJ134" s="293"/>
      <c r="AK134" s="296"/>
      <c r="AL134" s="331"/>
      <c r="AM134" s="297"/>
      <c r="AN134" s="293"/>
      <c r="AO134" s="296"/>
      <c r="AP134" s="293"/>
      <c r="AQ134" s="296"/>
      <c r="AR134" s="293"/>
      <c r="AS134" s="296"/>
      <c r="AT134" s="293"/>
      <c r="AU134" s="296"/>
      <c r="AV134" s="331"/>
      <c r="AW134" s="297"/>
      <c r="AX134" s="293"/>
      <c r="AY134" s="296"/>
      <c r="AZ134" s="293"/>
      <c r="BA134" s="296"/>
      <c r="BB134" s="293"/>
      <c r="BC134" s="296"/>
      <c r="BD134" s="293"/>
      <c r="BE134" s="296"/>
      <c r="BF134" s="293"/>
      <c r="BG134" s="296"/>
      <c r="BH134" s="332"/>
      <c r="BI134" s="333"/>
      <c r="BJ134" s="332"/>
      <c r="BK134" s="22"/>
    </row>
    <row r="135" ht="4.5" hidden="1" customHeight="1">
      <c r="A135" s="334"/>
      <c r="B135" s="335"/>
      <c r="C135" s="336"/>
      <c r="D135" s="337"/>
      <c r="E135" s="338"/>
      <c r="F135" s="339"/>
      <c r="G135" s="340"/>
      <c r="H135" s="341"/>
      <c r="I135" s="338"/>
      <c r="J135" s="259"/>
      <c r="K135" s="342"/>
      <c r="L135" s="259"/>
      <c r="M135" s="342"/>
      <c r="N135" s="343"/>
      <c r="O135" s="344"/>
      <c r="P135" s="259"/>
      <c r="Q135" s="342"/>
      <c r="R135" s="343"/>
      <c r="S135" s="344"/>
      <c r="T135" s="257"/>
      <c r="U135" s="227"/>
      <c r="V135" s="223"/>
      <c r="W135" s="229"/>
      <c r="X135" s="223"/>
      <c r="Y135" s="229"/>
      <c r="Z135" s="223"/>
      <c r="AA135" s="229"/>
      <c r="AB135" s="223"/>
      <c r="AC135" s="229"/>
      <c r="AD135" s="223"/>
      <c r="AE135" s="229"/>
      <c r="AF135" s="223"/>
      <c r="AG135" s="229"/>
      <c r="AH135" s="223"/>
      <c r="AI135" s="229"/>
      <c r="AJ135" s="223"/>
      <c r="AK135" s="229"/>
      <c r="AL135" s="226"/>
      <c r="AM135" s="227"/>
      <c r="AN135" s="223"/>
      <c r="AO135" s="229"/>
      <c r="AP135" s="223"/>
      <c r="AQ135" s="229"/>
      <c r="AR135" s="223"/>
      <c r="AS135" s="229"/>
      <c r="AT135" s="223"/>
      <c r="AU135" s="229"/>
      <c r="AV135" s="226"/>
      <c r="AW135" s="227"/>
      <c r="AX135" s="223"/>
      <c r="AY135" s="229"/>
      <c r="AZ135" s="223"/>
      <c r="BA135" s="229"/>
      <c r="BB135" s="223"/>
      <c r="BC135" s="229"/>
      <c r="BD135" s="223"/>
      <c r="BE135" s="229"/>
      <c r="BF135" s="223"/>
      <c r="BG135" s="229"/>
      <c r="BH135" s="225"/>
      <c r="BI135" s="230"/>
      <c r="BJ135" s="225"/>
      <c r="BK135" s="22"/>
    </row>
    <row r="136" ht="11.25" hidden="1" customHeight="1">
      <c r="A136" s="306"/>
      <c r="B136" s="24"/>
      <c r="C136" s="301"/>
      <c r="D136" s="24"/>
      <c r="E136" s="308"/>
      <c r="F136" s="26"/>
      <c r="G136" s="303"/>
      <c r="H136" s="124"/>
      <c r="I136" s="125"/>
      <c r="J136" s="309"/>
      <c r="K136" s="310"/>
      <c r="L136" s="309"/>
      <c r="M136" s="310"/>
      <c r="N136" s="311"/>
      <c r="O136" s="312"/>
      <c r="P136" s="309"/>
      <c r="Q136" s="310"/>
      <c r="R136" s="311"/>
      <c r="S136" s="312"/>
      <c r="T136" s="313"/>
      <c r="U136" s="141"/>
      <c r="V136" s="138"/>
      <c r="W136" s="131"/>
      <c r="X136" s="138"/>
      <c r="Y136" s="131"/>
      <c r="Z136" s="138"/>
      <c r="AA136" s="131"/>
      <c r="AB136" s="138"/>
      <c r="AC136" s="131"/>
      <c r="AD136" s="138"/>
      <c r="AE136" s="131"/>
      <c r="AF136" s="138"/>
      <c r="AG136" s="131"/>
      <c r="AH136" s="138"/>
      <c r="AI136" s="131"/>
      <c r="AJ136" s="138"/>
      <c r="AK136" s="131"/>
      <c r="AL136" s="283"/>
      <c r="AM136" s="141"/>
      <c r="AN136" s="138"/>
      <c r="AO136" s="131"/>
      <c r="AP136" s="138"/>
      <c r="AQ136" s="131"/>
      <c r="AR136" s="138"/>
      <c r="AS136" s="131"/>
      <c r="AT136" s="138"/>
      <c r="AU136" s="131"/>
      <c r="AV136" s="283"/>
      <c r="AW136" s="141"/>
      <c r="AX136" s="138"/>
      <c r="AY136" s="131"/>
      <c r="AZ136" s="138"/>
      <c r="BA136" s="131"/>
      <c r="BB136" s="138"/>
      <c r="BC136" s="131"/>
      <c r="BD136" s="138"/>
      <c r="BE136" s="131"/>
      <c r="BF136" s="138"/>
      <c r="BG136" s="131"/>
      <c r="BH136" s="281"/>
      <c r="BI136" s="143"/>
      <c r="BJ136" s="281"/>
      <c r="BK136" s="22"/>
    </row>
    <row r="137" ht="4.5" hidden="1" customHeight="1">
      <c r="A137" s="314"/>
      <c r="B137" s="60"/>
      <c r="C137" s="315"/>
      <c r="D137" s="60"/>
      <c r="E137" s="316"/>
      <c r="F137" s="65"/>
      <c r="G137" s="317"/>
      <c r="H137" s="144"/>
      <c r="I137" s="145"/>
      <c r="J137" s="149"/>
      <c r="K137" s="150"/>
      <c r="L137" s="149"/>
      <c r="M137" s="150"/>
      <c r="N137" s="318"/>
      <c r="O137" s="155"/>
      <c r="P137" s="149"/>
      <c r="Q137" s="150"/>
      <c r="R137" s="318"/>
      <c r="S137" s="155"/>
      <c r="T137" s="319"/>
      <c r="U137" s="154"/>
      <c r="V137" s="149"/>
      <c r="W137" s="150"/>
      <c r="X137" s="149"/>
      <c r="Y137" s="150"/>
      <c r="Z137" s="149"/>
      <c r="AA137" s="150"/>
      <c r="AB137" s="149"/>
      <c r="AC137" s="150"/>
      <c r="AD137" s="149"/>
      <c r="AE137" s="150"/>
      <c r="AF137" s="149"/>
      <c r="AG137" s="150"/>
      <c r="AH137" s="149"/>
      <c r="AI137" s="150"/>
      <c r="AJ137" s="149"/>
      <c r="AK137" s="150"/>
      <c r="AL137" s="319"/>
      <c r="AM137" s="154"/>
      <c r="AN137" s="149"/>
      <c r="AO137" s="150"/>
      <c r="AP137" s="149"/>
      <c r="AQ137" s="150"/>
      <c r="AR137" s="149"/>
      <c r="AS137" s="150"/>
      <c r="AT137" s="149"/>
      <c r="AU137" s="150"/>
      <c r="AV137" s="319"/>
      <c r="AW137" s="154"/>
      <c r="AX137" s="149"/>
      <c r="AY137" s="150"/>
      <c r="AZ137" s="149"/>
      <c r="BA137" s="150"/>
      <c r="BB137" s="149"/>
      <c r="BC137" s="150"/>
      <c r="BD137" s="149"/>
      <c r="BE137" s="150"/>
      <c r="BF137" s="149"/>
      <c r="BG137" s="150"/>
      <c r="BH137" s="318"/>
      <c r="BI137" s="155"/>
      <c r="BJ137" s="318"/>
      <c r="BK137" s="22"/>
    </row>
    <row r="138" ht="4.5" hidden="1" customHeight="1">
      <c r="A138" s="345"/>
      <c r="B138" s="321"/>
      <c r="C138" s="322"/>
      <c r="D138" s="323"/>
      <c r="E138" s="324"/>
      <c r="F138" s="184"/>
      <c r="G138" s="325"/>
      <c r="H138" s="156"/>
      <c r="I138" s="326"/>
      <c r="J138" s="115"/>
      <c r="K138" s="324"/>
      <c r="L138" s="115"/>
      <c r="M138" s="324"/>
      <c r="N138" s="117"/>
      <c r="O138" s="327"/>
      <c r="P138" s="115"/>
      <c r="Q138" s="324"/>
      <c r="R138" s="117"/>
      <c r="S138" s="327"/>
      <c r="T138" s="119"/>
      <c r="U138" s="120"/>
      <c r="V138" s="115"/>
      <c r="W138" s="114"/>
      <c r="X138" s="115"/>
      <c r="Y138" s="114"/>
      <c r="Z138" s="115"/>
      <c r="AA138" s="114"/>
      <c r="AB138" s="115"/>
      <c r="AC138" s="114"/>
      <c r="AD138" s="115"/>
      <c r="AE138" s="114"/>
      <c r="AF138" s="115"/>
      <c r="AG138" s="114"/>
      <c r="AH138" s="115"/>
      <c r="AI138" s="114"/>
      <c r="AJ138" s="115"/>
      <c r="AK138" s="114"/>
      <c r="AL138" s="119"/>
      <c r="AM138" s="120"/>
      <c r="AN138" s="115"/>
      <c r="AO138" s="114"/>
      <c r="AP138" s="115"/>
      <c r="AQ138" s="114"/>
      <c r="AR138" s="115"/>
      <c r="AS138" s="114"/>
      <c r="AT138" s="115"/>
      <c r="AU138" s="114"/>
      <c r="AV138" s="119"/>
      <c r="AW138" s="120"/>
      <c r="AX138" s="115"/>
      <c r="AY138" s="114"/>
      <c r="AZ138" s="115"/>
      <c r="BA138" s="114"/>
      <c r="BB138" s="115"/>
      <c r="BC138" s="114"/>
      <c r="BD138" s="115"/>
      <c r="BE138" s="114"/>
      <c r="BF138" s="115"/>
      <c r="BG138" s="114"/>
      <c r="BH138" s="117"/>
      <c r="BI138" s="121"/>
      <c r="BJ138" s="117"/>
      <c r="BK138" s="22"/>
    </row>
    <row r="139" ht="11.25" hidden="1" customHeight="1">
      <c r="A139" s="306"/>
      <c r="B139" s="24"/>
      <c r="C139" s="301"/>
      <c r="D139" s="24"/>
      <c r="E139" s="308"/>
      <c r="F139" s="26"/>
      <c r="G139" s="303"/>
      <c r="H139" s="124"/>
      <c r="I139" s="125"/>
      <c r="J139" s="309"/>
      <c r="K139" s="310"/>
      <c r="L139" s="309"/>
      <c r="M139" s="310"/>
      <c r="N139" s="311"/>
      <c r="O139" s="312"/>
      <c r="P139" s="309"/>
      <c r="Q139" s="310"/>
      <c r="R139" s="311"/>
      <c r="S139" s="312"/>
      <c r="T139" s="313"/>
      <c r="U139" s="141"/>
      <c r="V139" s="138"/>
      <c r="W139" s="131"/>
      <c r="X139" s="138"/>
      <c r="Y139" s="131"/>
      <c r="Z139" s="138"/>
      <c r="AA139" s="131"/>
      <c r="AB139" s="138"/>
      <c r="AC139" s="131"/>
      <c r="AD139" s="138"/>
      <c r="AE139" s="131"/>
      <c r="AF139" s="138"/>
      <c r="AG139" s="131"/>
      <c r="AH139" s="138"/>
      <c r="AI139" s="131"/>
      <c r="AJ139" s="138"/>
      <c r="AK139" s="131"/>
      <c r="AL139" s="283"/>
      <c r="AM139" s="141"/>
      <c r="AN139" s="138"/>
      <c r="AO139" s="131"/>
      <c r="AP139" s="138"/>
      <c r="AQ139" s="131"/>
      <c r="AR139" s="138"/>
      <c r="AS139" s="131"/>
      <c r="AT139" s="138"/>
      <c r="AU139" s="131"/>
      <c r="AV139" s="283"/>
      <c r="AW139" s="141"/>
      <c r="AX139" s="138"/>
      <c r="AY139" s="131"/>
      <c r="AZ139" s="138"/>
      <c r="BA139" s="131"/>
      <c r="BB139" s="138"/>
      <c r="BC139" s="131"/>
      <c r="BD139" s="138"/>
      <c r="BE139" s="131"/>
      <c r="BF139" s="138"/>
      <c r="BG139" s="131"/>
      <c r="BH139" s="281"/>
      <c r="BI139" s="143"/>
      <c r="BJ139" s="281"/>
      <c r="BK139" s="22"/>
    </row>
    <row r="140" ht="4.5" hidden="1" customHeight="1">
      <c r="A140" s="314"/>
      <c r="B140" s="60"/>
      <c r="C140" s="315"/>
      <c r="D140" s="60"/>
      <c r="E140" s="316"/>
      <c r="F140" s="65"/>
      <c r="G140" s="317"/>
      <c r="H140" s="144"/>
      <c r="I140" s="145"/>
      <c r="J140" s="149"/>
      <c r="K140" s="150"/>
      <c r="L140" s="149"/>
      <c r="M140" s="150"/>
      <c r="N140" s="318"/>
      <c r="O140" s="155"/>
      <c r="P140" s="149"/>
      <c r="Q140" s="150"/>
      <c r="R140" s="318"/>
      <c r="S140" s="155"/>
      <c r="T140" s="319"/>
      <c r="U140" s="154"/>
      <c r="V140" s="149"/>
      <c r="W140" s="150"/>
      <c r="X140" s="149"/>
      <c r="Y140" s="150"/>
      <c r="Z140" s="149"/>
      <c r="AA140" s="150"/>
      <c r="AB140" s="149"/>
      <c r="AC140" s="150"/>
      <c r="AD140" s="149"/>
      <c r="AE140" s="150"/>
      <c r="AF140" s="149"/>
      <c r="AG140" s="150"/>
      <c r="AH140" s="149"/>
      <c r="AI140" s="150"/>
      <c r="AJ140" s="149"/>
      <c r="AK140" s="150"/>
      <c r="AL140" s="319"/>
      <c r="AM140" s="154"/>
      <c r="AN140" s="149"/>
      <c r="AO140" s="150"/>
      <c r="AP140" s="149"/>
      <c r="AQ140" s="150"/>
      <c r="AR140" s="149"/>
      <c r="AS140" s="150"/>
      <c r="AT140" s="149"/>
      <c r="AU140" s="150"/>
      <c r="AV140" s="319"/>
      <c r="AW140" s="154"/>
      <c r="AX140" s="149"/>
      <c r="AY140" s="150"/>
      <c r="AZ140" s="149"/>
      <c r="BA140" s="150"/>
      <c r="BB140" s="149"/>
      <c r="BC140" s="150"/>
      <c r="BD140" s="149"/>
      <c r="BE140" s="150"/>
      <c r="BF140" s="149"/>
      <c r="BG140" s="150"/>
      <c r="BH140" s="318"/>
      <c r="BI140" s="155"/>
      <c r="BJ140" s="318"/>
      <c r="BK140" s="22"/>
    </row>
    <row r="141" ht="4.5" hidden="1" customHeight="1">
      <c r="A141" s="345"/>
      <c r="B141" s="321"/>
      <c r="C141" s="322"/>
      <c r="D141" s="323"/>
      <c r="E141" s="324"/>
      <c r="F141" s="184"/>
      <c r="G141" s="325"/>
      <c r="H141" s="156"/>
      <c r="I141" s="326"/>
      <c r="J141" s="115"/>
      <c r="K141" s="324"/>
      <c r="L141" s="115"/>
      <c r="M141" s="324"/>
      <c r="N141" s="117"/>
      <c r="O141" s="327"/>
      <c r="P141" s="115"/>
      <c r="Q141" s="324"/>
      <c r="R141" s="117"/>
      <c r="S141" s="327"/>
      <c r="T141" s="119"/>
      <c r="U141" s="120"/>
      <c r="V141" s="115"/>
      <c r="W141" s="114"/>
      <c r="X141" s="115"/>
      <c r="Y141" s="114"/>
      <c r="Z141" s="115"/>
      <c r="AA141" s="114"/>
      <c r="AB141" s="115"/>
      <c r="AC141" s="114"/>
      <c r="AD141" s="115"/>
      <c r="AE141" s="114"/>
      <c r="AF141" s="115"/>
      <c r="AG141" s="114"/>
      <c r="AH141" s="115"/>
      <c r="AI141" s="114"/>
      <c r="AJ141" s="115"/>
      <c r="AK141" s="114"/>
      <c r="AL141" s="119"/>
      <c r="AM141" s="120"/>
      <c r="AN141" s="115"/>
      <c r="AO141" s="114"/>
      <c r="AP141" s="115"/>
      <c r="AQ141" s="114"/>
      <c r="AR141" s="115"/>
      <c r="AS141" s="114"/>
      <c r="AT141" s="115"/>
      <c r="AU141" s="114"/>
      <c r="AV141" s="119"/>
      <c r="AW141" s="120"/>
      <c r="AX141" s="115"/>
      <c r="AY141" s="114"/>
      <c r="AZ141" s="115"/>
      <c r="BA141" s="114"/>
      <c r="BB141" s="115"/>
      <c r="BC141" s="114"/>
      <c r="BD141" s="115"/>
      <c r="BE141" s="114"/>
      <c r="BF141" s="115"/>
      <c r="BG141" s="114"/>
      <c r="BH141" s="117"/>
      <c r="BI141" s="121"/>
      <c r="BJ141" s="117"/>
      <c r="BK141" s="22"/>
    </row>
    <row r="142" ht="11.25" hidden="1" customHeight="1">
      <c r="A142" s="306"/>
      <c r="B142" s="24"/>
      <c r="C142" s="301"/>
      <c r="D142" s="24"/>
      <c r="E142" s="308"/>
      <c r="F142" s="26"/>
      <c r="G142" s="303"/>
      <c r="H142" s="124"/>
      <c r="I142" s="125"/>
      <c r="J142" s="309"/>
      <c r="K142" s="310"/>
      <c r="L142" s="309"/>
      <c r="M142" s="310"/>
      <c r="N142" s="311"/>
      <c r="O142" s="312"/>
      <c r="P142" s="309"/>
      <c r="Q142" s="310"/>
      <c r="R142" s="311"/>
      <c r="S142" s="312"/>
      <c r="T142" s="313"/>
      <c r="U142" s="141"/>
      <c r="V142" s="138"/>
      <c r="W142" s="131"/>
      <c r="X142" s="138"/>
      <c r="Y142" s="131"/>
      <c r="Z142" s="138"/>
      <c r="AA142" s="131"/>
      <c r="AB142" s="138"/>
      <c r="AC142" s="131"/>
      <c r="AD142" s="138"/>
      <c r="AE142" s="131"/>
      <c r="AF142" s="138"/>
      <c r="AG142" s="131"/>
      <c r="AH142" s="138"/>
      <c r="AI142" s="131"/>
      <c r="AJ142" s="138"/>
      <c r="AK142" s="131"/>
      <c r="AL142" s="283"/>
      <c r="AM142" s="141"/>
      <c r="AN142" s="138"/>
      <c r="AO142" s="131"/>
      <c r="AP142" s="138"/>
      <c r="AQ142" s="131"/>
      <c r="AR142" s="138"/>
      <c r="AS142" s="131"/>
      <c r="AT142" s="138"/>
      <c r="AU142" s="131"/>
      <c r="AV142" s="283"/>
      <c r="AW142" s="141"/>
      <c r="AX142" s="138"/>
      <c r="AY142" s="131"/>
      <c r="AZ142" s="138"/>
      <c r="BA142" s="131"/>
      <c r="BB142" s="138"/>
      <c r="BC142" s="131"/>
      <c r="BD142" s="138"/>
      <c r="BE142" s="131"/>
      <c r="BF142" s="138"/>
      <c r="BG142" s="131"/>
      <c r="BH142" s="281"/>
      <c r="BI142" s="143"/>
      <c r="BJ142" s="281"/>
      <c r="BK142" s="22"/>
    </row>
    <row r="143" ht="4.5" hidden="1" customHeight="1">
      <c r="A143" s="314"/>
      <c r="B143" s="60"/>
      <c r="C143" s="315"/>
      <c r="D143" s="60"/>
      <c r="E143" s="316"/>
      <c r="F143" s="65"/>
      <c r="G143" s="317"/>
      <c r="H143" s="144"/>
      <c r="I143" s="145"/>
      <c r="J143" s="149"/>
      <c r="K143" s="150"/>
      <c r="L143" s="149"/>
      <c r="M143" s="150"/>
      <c r="N143" s="318"/>
      <c r="O143" s="155"/>
      <c r="P143" s="149"/>
      <c r="Q143" s="150"/>
      <c r="R143" s="318"/>
      <c r="S143" s="155"/>
      <c r="T143" s="319"/>
      <c r="U143" s="154"/>
      <c r="V143" s="149"/>
      <c r="W143" s="150"/>
      <c r="X143" s="149"/>
      <c r="Y143" s="150"/>
      <c r="Z143" s="149"/>
      <c r="AA143" s="150"/>
      <c r="AB143" s="149"/>
      <c r="AC143" s="150"/>
      <c r="AD143" s="149"/>
      <c r="AE143" s="150"/>
      <c r="AF143" s="149"/>
      <c r="AG143" s="150"/>
      <c r="AH143" s="149"/>
      <c r="AI143" s="150"/>
      <c r="AJ143" s="149"/>
      <c r="AK143" s="150"/>
      <c r="AL143" s="319"/>
      <c r="AM143" s="154"/>
      <c r="AN143" s="149"/>
      <c r="AO143" s="150"/>
      <c r="AP143" s="149"/>
      <c r="AQ143" s="150"/>
      <c r="AR143" s="149"/>
      <c r="AS143" s="150"/>
      <c r="AT143" s="149"/>
      <c r="AU143" s="150"/>
      <c r="AV143" s="319"/>
      <c r="AW143" s="154"/>
      <c r="AX143" s="149"/>
      <c r="AY143" s="150"/>
      <c r="AZ143" s="149"/>
      <c r="BA143" s="150"/>
      <c r="BB143" s="149"/>
      <c r="BC143" s="150"/>
      <c r="BD143" s="149"/>
      <c r="BE143" s="150"/>
      <c r="BF143" s="149"/>
      <c r="BG143" s="150"/>
      <c r="BH143" s="318"/>
      <c r="BI143" s="155"/>
      <c r="BJ143" s="318"/>
      <c r="BK143" s="22"/>
    </row>
    <row r="144" ht="4.5" hidden="1" customHeight="1">
      <c r="A144" s="345" t="s">
        <v>100</v>
      </c>
      <c r="B144" s="321"/>
      <c r="C144" s="322"/>
      <c r="D144" s="323"/>
      <c r="E144" s="326"/>
      <c r="F144" s="184">
        <f>IF(E144=1,1.5,1)</f>
        <v>1</v>
      </c>
      <c r="G144" s="325"/>
      <c r="H144" s="156"/>
      <c r="I144" s="326"/>
      <c r="J144" s="115">
        <f>IF(OR(J146=1,J146=2),1,0)</f>
        <v>0</v>
      </c>
      <c r="K144" s="324"/>
      <c r="L144" s="115">
        <f>IF(OR(L146=1,L146=2),1,0)</f>
        <v>0</v>
      </c>
      <c r="M144" s="324"/>
      <c r="N144" s="117">
        <f>IF(OR(N146=1,N146=2),1,0)</f>
        <v>0</v>
      </c>
      <c r="O144" s="324"/>
      <c r="P144" s="115">
        <f>IF(OR(P146=1,P146=2),1,0)</f>
        <v>0</v>
      </c>
      <c r="Q144" s="324"/>
      <c r="R144" s="117">
        <f>IF(OR(R146=1,R146=2),1,0)</f>
        <v>0</v>
      </c>
      <c r="S144" s="327"/>
      <c r="T144" s="119">
        <f>IF(OR(T146=1,T146=2),1,0)</f>
        <v>0</v>
      </c>
      <c r="U144" s="120"/>
      <c r="V144" s="115"/>
      <c r="W144" s="114"/>
      <c r="X144" s="115"/>
      <c r="Y144" s="114"/>
      <c r="Z144" s="115"/>
      <c r="AA144" s="114"/>
      <c r="AB144" s="115"/>
      <c r="AC144" s="114"/>
      <c r="AD144" s="115"/>
      <c r="AE144" s="114"/>
      <c r="AF144" s="115"/>
      <c r="AG144" s="114"/>
      <c r="AH144" s="115"/>
      <c r="AI144" s="114"/>
      <c r="AJ144" s="115"/>
      <c r="AK144" s="114"/>
      <c r="AL144" s="119"/>
      <c r="AM144" s="120"/>
      <c r="AN144" s="115"/>
      <c r="AO144" s="114"/>
      <c r="AP144" s="115"/>
      <c r="AQ144" s="114"/>
      <c r="AR144" s="115"/>
      <c r="AS144" s="114"/>
      <c r="AT144" s="115"/>
      <c r="AU144" s="114"/>
      <c r="AV144" s="119"/>
      <c r="AW144" s="120"/>
      <c r="AX144" s="115"/>
      <c r="AY144" s="114"/>
      <c r="AZ144" s="115"/>
      <c r="BA144" s="114"/>
      <c r="BB144" s="115"/>
      <c r="BC144" s="114"/>
      <c r="BD144" s="115"/>
      <c r="BE144" s="114"/>
      <c r="BF144" s="115"/>
      <c r="BG144" s="114"/>
      <c r="BH144" s="117"/>
      <c r="BI144" s="121"/>
      <c r="BJ144" s="117"/>
      <c r="BK144" s="22"/>
    </row>
    <row r="145" ht="11.25" hidden="1" customHeight="1">
      <c r="A145" s="306"/>
      <c r="B145" s="24"/>
      <c r="C145" s="301"/>
      <c r="D145" s="24"/>
      <c r="E145" s="308"/>
      <c r="F145" s="26"/>
      <c r="G145" s="303"/>
      <c r="H145" s="124"/>
      <c r="I145" s="125" t="b">
        <f>IF($D144=1,I$8,IF($D144=2,I$9,IF($D144=3,I$10)))</f>
        <v>0</v>
      </c>
      <c r="J145" s="309"/>
      <c r="K145" s="310" t="b">
        <f>IF($D144=1,K$8,IF($D144=2,K$9,IF($D144=3,K$10)))</f>
        <v>0</v>
      </c>
      <c r="L145" s="309"/>
      <c r="M145" s="310" t="b">
        <f>IF($D144=1,M$8,IF($D144=2,M$9,IF($D144=3,M$10)))</f>
        <v>0</v>
      </c>
      <c r="N145" s="311"/>
      <c r="O145" s="312" t="b">
        <f>IF($D144=1,O$8,IF($D144=2,O$9,IF($D144=3,O$10)))</f>
        <v>0</v>
      </c>
      <c r="P145" s="309"/>
      <c r="Q145" s="310" t="b">
        <f>IF($D144=1,Q$8,IF($D144=2,Q$9,IF($D144=3,Q$10)))</f>
        <v>0</v>
      </c>
      <c r="R145" s="311"/>
      <c r="S145" s="312" t="b">
        <f>IF($D144=1,S$8,IF($D144=2,S$9,IF($D144=3,S$10)))</f>
        <v>0</v>
      </c>
      <c r="T145" s="313"/>
      <c r="U145" s="141" t="b">
        <f>IF($D144=1,U$8,IF($D144=2,U$9,IF($D144=3,U$10)))</f>
        <v>0</v>
      </c>
      <c r="V145" s="138"/>
      <c r="W145" s="131" t="b">
        <f>IF($D144=1,W$8,IF($D144=2,W$9,IF($D144=3,W$10)))</f>
        <v>0</v>
      </c>
      <c r="X145" s="138"/>
      <c r="Y145" s="131" t="b">
        <f>IF($D144=1,Y$8,IF($D144=2,Y$9,IF($D144=3,Y$10)))</f>
        <v>0</v>
      </c>
      <c r="Z145" s="138"/>
      <c r="AA145" s="131" t="b">
        <f>IF($D144=1,AA$8,IF($D144=2,AA$9,IF($D144=3,AA$10)))</f>
        <v>0</v>
      </c>
      <c r="AB145" s="138"/>
      <c r="AC145" s="131" t="b">
        <f>IF($D144=1,AC$8,IF($D144=2,AC$9,IF($D144=3,AC$10)))</f>
        <v>0</v>
      </c>
      <c r="AD145" s="138"/>
      <c r="AE145" s="131" t="b">
        <f>IF($D144=1,AE$8,IF($D144=2,AE$9,IF($D144=3,AE$10)))</f>
        <v>0</v>
      </c>
      <c r="AF145" s="138"/>
      <c r="AG145" s="131" t="b">
        <f>IF($D144=1,AG$8,IF($D144=2,AG$9,IF($D144=3,AG$10)))</f>
        <v>0</v>
      </c>
      <c r="AH145" s="138"/>
      <c r="AI145" s="131" t="b">
        <f>IF($D144=1,AI$8,IF($D144=2,AI$9,IF($D144=3,AI$10)))</f>
        <v>0</v>
      </c>
      <c r="AJ145" s="138"/>
      <c r="AK145" s="131" t="b">
        <f>IF($D144=1,AK$8,IF($D144=2,AK$9,IF($D144=3,AK$10)))</f>
        <v>0</v>
      </c>
      <c r="AL145" s="283"/>
      <c r="AM145" s="141" t="b">
        <f>IF($D144=1,AM$8,IF($D144=2,AM$9,IF($D144=3,AM$10)))</f>
        <v>0</v>
      </c>
      <c r="AN145" s="138"/>
      <c r="AO145" s="131" t="b">
        <f>IF($D144=1,AO$8,IF($D144=2,AO$9,IF($D144=3,AO$10)))</f>
        <v>0</v>
      </c>
      <c r="AP145" s="138"/>
      <c r="AQ145" s="131" t="b">
        <f>IF($D144=1,AQ$8,IF($D144=2,AQ$9,IF($D144=3,AQ$10)))</f>
        <v>0</v>
      </c>
      <c r="AR145" s="138"/>
      <c r="AS145" s="131" t="b">
        <f>IF($D144=1,AS$8,IF($D144=2,AS$9,IF($D144=3,AS$10)))</f>
        <v>0</v>
      </c>
      <c r="AT145" s="138"/>
      <c r="AU145" s="131" t="b">
        <f>IF($D144=1,AU$8,IF($D144=2,AU$9,IF($D144=3,AU$10)))</f>
        <v>0</v>
      </c>
      <c r="AV145" s="283"/>
      <c r="AW145" s="141" t="b">
        <f>IF($D144=1,AW$8,IF($D144=2,AW$9,IF($D144=3,AW$10)))</f>
        <v>0</v>
      </c>
      <c r="AX145" s="138"/>
      <c r="AY145" s="131" t="b">
        <f>IF($D144=1,AY$8,IF($D144=2,AY$9,IF($D144=3,AY$10)))</f>
        <v>0</v>
      </c>
      <c r="AZ145" s="138"/>
      <c r="BA145" s="131" t="b">
        <f>IF($D144=1,BA$8,IF($D144=2,BA$9,IF($D144=3,BA$10)))</f>
        <v>0</v>
      </c>
      <c r="BB145" s="138"/>
      <c r="BC145" s="131" t="b">
        <f>IF($D144=1,BC$8,IF($D144=2,BC$9,IF($D144=3,BC$10)))</f>
        <v>0</v>
      </c>
      <c r="BD145" s="138"/>
      <c r="BE145" s="131" t="b">
        <f>IF($D144=1,BE$8,IF($D144=2,BE$9,IF($D144=3,BE$10)))</f>
        <v>0</v>
      </c>
      <c r="BF145" s="138"/>
      <c r="BG145" s="131" t="b">
        <f>IF($D144=1,BG$8,IF($D144=2,BG$9,IF($D144=3,BG$10)))</f>
        <v>0</v>
      </c>
      <c r="BH145" s="281"/>
      <c r="BI145" s="143" t="b">
        <f>IF($D144=1,BI$8,IF($D144=2,BI$9,IF($D144=3,BI$10)))</f>
        <v>0</v>
      </c>
      <c r="BJ145" s="281"/>
      <c r="BK145" s="22"/>
    </row>
    <row r="146" ht="4.5" hidden="1" customHeight="1">
      <c r="A146" s="346"/>
      <c r="B146" s="166"/>
      <c r="C146" s="347"/>
      <c r="D146" s="166"/>
      <c r="E146" s="348"/>
      <c r="F146" s="349"/>
      <c r="G146" s="350"/>
      <c r="H146" s="169"/>
      <c r="I146" s="351">
        <f>IF(AND(J144=1,OR($H144="вп",$H144="вд",$H144="шп",$H144="оа")),1,0)</f>
        <v>0</v>
      </c>
      <c r="J146" s="352" t="str">
        <f>IF($C$2&lt;(I145*$F144+J145)-10,2,IF($C$2&lt;(I145*$F144+J145),1,"0"))</f>
        <v>0</v>
      </c>
      <c r="K146" s="353">
        <f>IF(AND(L144=1,OR($H144="вп",$H144="вд",$H144="шп",$H144="оа")),1,0)</f>
        <v>0</v>
      </c>
      <c r="L146" s="352" t="str">
        <f>IF($C$2&lt;(K145*$F144+L145)-10,2,IF($C$2&lt;(K145*$F144+L145),1,"0"))</f>
        <v>0</v>
      </c>
      <c r="M146" s="353">
        <f>IF(AND(N144=1,OR($H144="вп",$H144="вд",$H144="шп",$H144="оа")),1,0)</f>
        <v>0</v>
      </c>
      <c r="N146" s="354" t="str">
        <f>IF($C$2&lt;(M145*$F144+N145)-10,2,IF($C$2&lt;(M145*$F144+N145),1,"0"))</f>
        <v>0</v>
      </c>
      <c r="O146" s="355">
        <f>IF(AND(P144=1,OR($H144="вп",$H144="вд",$H144="шп",$H144="оа")),1,0)</f>
        <v>0</v>
      </c>
      <c r="P146" s="352" t="str">
        <f>IF($C$2&lt;(O145*$F144+P145)-10,2,IF($C$2&lt;(O145*$F144+P145),1,"0"))</f>
        <v>0</v>
      </c>
      <c r="Q146" s="353">
        <f>IF(AND(R144=1,OR($H144="вп",$H144="вд",$H144="шп",$H144="оа")),1,0)</f>
        <v>0</v>
      </c>
      <c r="R146" s="354" t="str">
        <f>IF($C$2&lt;(Q145*$F144+R145)-10,2,IF($C$2&lt;(Q145*$F144+R145),1,"0"))</f>
        <v>0</v>
      </c>
      <c r="S146" s="355">
        <f>IF(AND(T144=1,OR($H144="вп",$H144="вд",$H144="шп",$H144="оа")),1,0)</f>
        <v>0</v>
      </c>
      <c r="T146" s="356" t="str">
        <f>IF($C$2&lt;(S145*$F144+T145)-10,2,IF($C$2&lt;(S145*$F144+T145),1,"0"))</f>
        <v>0</v>
      </c>
      <c r="U146" s="357"/>
      <c r="V146" s="223" t="str">
        <f>IF($C$2&lt;(U145+V145)-10,2,IF($C$2&lt;(U145+V145),1,"0"))</f>
        <v>0</v>
      </c>
      <c r="W146" s="254"/>
      <c r="X146" s="223" t="str">
        <f>IF($C$2&lt;(W145+X145)-10,2,IF($C$2&lt;(W145+X145),1,"0"))</f>
        <v>0</v>
      </c>
      <c r="Y146" s="254"/>
      <c r="Z146" s="223" t="str">
        <f>IF($C$2&lt;(Y145+Z145)-10,2,IF($C$2&lt;(Y145+Z145),1,"0"))</f>
        <v>0</v>
      </c>
      <c r="AA146" s="254"/>
      <c r="AB146" s="223" t="str">
        <f>IF($C$2&lt;(AA145+AB145)-10,2,IF($C$2&lt;(AA145+AB145),1,"0"))</f>
        <v>0</v>
      </c>
      <c r="AC146" s="254"/>
      <c r="AD146" s="223" t="str">
        <f>IF($C$2&lt;(AC145+AD145)-10,2,IF($C$2&lt;(AC145+AD145),1,"0"))</f>
        <v>0</v>
      </c>
      <c r="AE146" s="254"/>
      <c r="AF146" s="223" t="str">
        <f>IF($C$2&lt;(AE145+AF145)-10,2,IF($C$2&lt;(AE145+AF145),1,"0"))</f>
        <v>0</v>
      </c>
      <c r="AG146" s="254"/>
      <c r="AH146" s="223" t="str">
        <f>IF($C$2&lt;(AG145+AH145)-10,2,IF($C$2&lt;(AG145+AH145),1,"0"))</f>
        <v>0</v>
      </c>
      <c r="AI146" s="254"/>
      <c r="AJ146" s="223" t="str">
        <f>IF($C$2&lt;(AI145+AJ145)-10,2,IF($C$2&lt;(AI145+AJ145),1,"0"))</f>
        <v>0</v>
      </c>
      <c r="AK146" s="254"/>
      <c r="AL146" s="226" t="str">
        <f>IF($C$2&lt;(AK145+AL145)-10,2,IF($C$2&lt;(AK145+AL145),1,"0"))</f>
        <v>0</v>
      </c>
      <c r="AM146" s="357"/>
      <c r="AN146" s="223" t="str">
        <f>IF($C$2&lt;(AM145+AN145)-10,2,IF($C$2&lt;(AM145+AN145),1,"0"))</f>
        <v>0</v>
      </c>
      <c r="AO146" s="254"/>
      <c r="AP146" s="223" t="str">
        <f>IF($C$2&lt;(AO145+AP145)-10,2,IF($C$2&lt;(AO145+AP145),1,"0"))</f>
        <v>0</v>
      </c>
      <c r="AQ146" s="254"/>
      <c r="AR146" s="223" t="str">
        <f>IF($C$2&lt;(AQ145+AR145)-10,2,IF($C$2&lt;(AQ145+AR145),1,"0"))</f>
        <v>0</v>
      </c>
      <c r="AS146" s="254"/>
      <c r="AT146" s="223" t="str">
        <f>IF($C$2&lt;(AS145+AT145)-10,2,IF($C$2&lt;(AS145+AT145),1,"0"))</f>
        <v>0</v>
      </c>
      <c r="AU146" s="254"/>
      <c r="AV146" s="226" t="str">
        <f>IF($C$2&lt;(AU145+AV145)-10,2,IF($C$2&lt;(AU145+AV145),1,"0"))</f>
        <v>0</v>
      </c>
      <c r="AW146" s="154"/>
      <c r="AX146" s="149" t="str">
        <f>IF($C$2&lt;(AW145+AX145)-10,2,IF($C$2&lt;(AW145+AX145),1,"0"))</f>
        <v>0</v>
      </c>
      <c r="AY146" s="150"/>
      <c r="AZ146" s="149" t="str">
        <f>IF($C$2&lt;(AY145+AZ145)-10,2,IF($C$2&lt;(AY145+AZ145),1,"0"))</f>
        <v>0</v>
      </c>
      <c r="BA146" s="150"/>
      <c r="BB146" s="149" t="str">
        <f>IF($C$2&lt;(BA145+BB145)-10,2,IF($C$2&lt;(BA145+BB145),1,"0"))</f>
        <v>0</v>
      </c>
      <c r="BC146" s="150"/>
      <c r="BD146" s="149" t="str">
        <f>IF($C$2&lt;(BC145+BD145)-10,2,IF($C$2&lt;(BC145+BD145),1,"0"))</f>
        <v>0</v>
      </c>
      <c r="BE146" s="150"/>
      <c r="BF146" s="149" t="str">
        <f>IF($C$2&lt;(BE145+BF145)-10,2,IF($C$2&lt;(BE145+BF145),1,"0"))</f>
        <v>0</v>
      </c>
      <c r="BG146" s="150"/>
      <c r="BH146" s="318" t="str">
        <f>IF($C$2&lt;(BG145+BH145)-10,2,IF($C$2&lt;(BG145+BH145),1,"0"))</f>
        <v>0</v>
      </c>
      <c r="BI146" s="155"/>
      <c r="BJ146" s="318" t="str">
        <f>IF($C$2&lt;(BI145+BJ145)-10,2,IF($C$2&lt;(BI145+BJ145),1,"0"))</f>
        <v>0</v>
      </c>
      <c r="BK146" s="22"/>
    </row>
    <row r="147" ht="15.0" customHeight="1">
      <c r="A147" s="358" t="s">
        <v>101</v>
      </c>
      <c r="B147" s="359" t="s">
        <v>102</v>
      </c>
      <c r="C147" s="42"/>
      <c r="D147" s="42"/>
      <c r="E147" s="42"/>
      <c r="F147" s="42"/>
      <c r="G147" s="42"/>
      <c r="H147" s="65"/>
      <c r="I147" s="360">
        <f>SUM(IF(J12&lt;&gt;"",1,IF(J15&lt;&gt;"",1,0)),IF(J18&lt;&gt;"",1,IF(J21&lt;&gt;"",1,0)),IF(J24&lt;&gt;"",1,IF(J27&lt;&gt;"",1,0)),IF(J30&lt;&gt;"",1,IF(J33&lt;&gt;"",1,0)),IF(J37&lt;&gt;"",1,IF(J40&lt;&gt;"",1,0)),IF(J43&lt;&gt;"",1,IF(J46&lt;&gt;"",1,0)),IF(J49&lt;&gt;"",1,IF(J52&lt;&gt;"",1,0)),IF(J55&lt;&gt;"",1,IF(J58&lt;&gt;"",1,0)),IF(J61&lt;&gt;"",1,IF(J64&lt;&gt;"",1,0)),IF(J67&lt;&gt;"",1,IF(J70&lt;&gt;"",1,0)),IF(J73&lt;&gt;"",1,IF(J76&lt;&gt;"",1,0)),IF(J79&lt;&gt;"",1,IF(J82&lt;&gt;"",1,0)),IF(J85&lt;&gt;"",1,IF(J88&lt;&gt;"",1,0)),IF(J91&lt;&gt;"",1,IF(J94&lt;&gt;"",1,0)),IF(J97&lt;&gt;"",1,IF(J100&lt;&gt;"",1,0)),IF(J103&lt;&gt;"",1,IF(J106&lt;&gt;"",1,0)),IF(J109&lt;&gt;"",1,IF(J112&lt;&gt;"",1,0)),IF(J115&lt;&gt;"",1,IF(J118&lt;&gt;"",1,0)))</f>
        <v>12</v>
      </c>
      <c r="J147" s="361"/>
      <c r="K147" s="360">
        <f>SUM(IF(L12&lt;&gt;"",1,IF(L15&lt;&gt;"",1,0)),IF(L18&lt;&gt;"",1,IF(L21&lt;&gt;"",1,0)),IF(L24&lt;&gt;"",1,IF(L27&lt;&gt;"",1,0)),IF(L30&lt;&gt;"",1,IF(L33&lt;&gt;"",1,0)),IF(L37&lt;&gt;"",1,IF(L40&lt;&gt;"",1,0)),IF(L43&lt;&gt;"",1,IF(L46&lt;&gt;"",1,0)),IF(L49&lt;&gt;"",1,IF(L52&lt;&gt;"",1,0)),IF(L55&lt;&gt;"",1,IF(L58&lt;&gt;"",1,0)),IF(L61&lt;&gt;"",1,IF(L64&lt;&gt;"",1,0)),IF(L67&lt;&gt;"",1,IF(L70&lt;&gt;"",1,0)),IF(L73&lt;&gt;"",1,IF(L76&lt;&gt;"",1,0)),IF(L79&lt;&gt;"",1,IF(L82&lt;&gt;"",1,0)),IF(L85&lt;&gt;"",1,IF(L88&lt;&gt;"",1,0)),IF(L91&lt;&gt;"",1,IF(L94&lt;&gt;"",1,0)),IF(L97&lt;&gt;"",1,IF(L100&lt;&gt;"",1,0)),IF(L103&lt;&gt;"",1,IF(L106&lt;&gt;"",1,0)),IF(L109&lt;&gt;"",1,IF(L112&lt;&gt;"",1,0)),IF(L115&lt;&gt;"",1,IF(L118&lt;&gt;"",1,0)))</f>
        <v>9</v>
      </c>
      <c r="L147" s="361"/>
      <c r="M147" s="360">
        <f>SUM(IF(N12&lt;&gt;"",1,IF(N15&lt;&gt;"",1,0)),IF(N18&lt;&gt;"",1,IF(N21&lt;&gt;"",1,0)),IF(N24&lt;&gt;"",1,IF(N27&lt;&gt;"",1,0)),IF(N30&lt;&gt;"",1,IF(N33&lt;&gt;"",1,0)),IF(N37&lt;&gt;"",1,IF(N40&lt;&gt;"",1,0)),IF(N43&lt;&gt;"",1,IF(N46&lt;&gt;"",1,0)),IF(N49&lt;&gt;"",1,IF(N52&lt;&gt;"",1,0)),IF(N55&lt;&gt;"",1,IF(N58&lt;&gt;"",1,0)),IF(N61&lt;&gt;"",1,IF(N64&lt;&gt;"",1,0)),IF(N67&lt;&gt;"",1,IF(N70&lt;&gt;"",1,0)),IF(N73&lt;&gt;"",1,IF(N76&lt;&gt;"",1,0)),IF(N79&lt;&gt;"",1,IF(N82&lt;&gt;"",1,0)),IF(N85&lt;&gt;"",1,IF(N88&lt;&gt;"",1,0)),IF(N91&lt;&gt;"",1,IF(N94&lt;&gt;"",1,0)),IF(N97&lt;&gt;"",1,IF(N100&lt;&gt;"",1,0)),IF(N103&lt;&gt;"",1,IF(N106&lt;&gt;"",1,0)),IF(N109&lt;&gt;"",1,IF(N112&lt;&gt;"",1,0)),IF(N115&lt;&gt;"",1,IF(N118&lt;&gt;"",1,0)))</f>
        <v>6</v>
      </c>
      <c r="N147" s="361"/>
      <c r="O147" s="360">
        <f>SUM(IF(P12&lt;&gt;"",1,IF(P15&lt;&gt;"",1,0)),IF(P18&lt;&gt;"",1,IF(P21&lt;&gt;"",1,0)),IF(P24&lt;&gt;"",1,IF(P27&lt;&gt;"",1,0)),IF(P30&lt;&gt;"",1,IF(P33&lt;&gt;"",1,0)),IF(P37&lt;&gt;"",1,IF(P40&lt;&gt;"",1,0)),IF(P43&lt;&gt;"",1,IF(P46&lt;&gt;"",1,0)),IF(P49&lt;&gt;"",1,IF(P52&lt;&gt;"",1,0)),IF(P55&lt;&gt;"",1,IF(P58&lt;&gt;"",1,0)),IF(P61&lt;&gt;"",1,IF(P64&lt;&gt;"",1,0)),IF(P67&lt;&gt;"",1,IF(P70&lt;&gt;"",1,0)),IF(P73&lt;&gt;"",1,IF(P76&lt;&gt;"",1,0)),IF(P79&lt;&gt;"",1,IF(P82&lt;&gt;"",1,0)),IF(P85&lt;&gt;"",1,IF(P88&lt;&gt;"",1,0)),IF(P91&lt;&gt;"",1,IF(P94&lt;&gt;"",1,0)),IF(P97&lt;&gt;"",1,IF(P100&lt;&gt;"",1,0)),IF(P103&lt;&gt;"",1,IF(P106&lt;&gt;"",1,0)),IF(P109&lt;&gt;"",1,IF(P112&lt;&gt;"",1,0)),IF(P115&lt;&gt;"",1,IF(P118&lt;&gt;"",1,0)))</f>
        <v>10</v>
      </c>
      <c r="P147" s="361"/>
      <c r="Q147" s="360">
        <f>SUM(IF(R12&lt;&gt;"",1,IF(R15&lt;&gt;"",1,0)),IF(R18&lt;&gt;"",1,IF(R21&lt;&gt;"",1,0)),IF(R24&lt;&gt;"",1,IF(R27&lt;&gt;"",1,0)),IF(R30&lt;&gt;"",1,IF(R33&lt;&gt;"",1,0)),IF(R37&lt;&gt;"",1,IF(R40&lt;&gt;"",1,0)),IF(R43&lt;&gt;"",1,IF(R46&lt;&gt;"",1,0)),IF(R49&lt;&gt;"",1,IF(R52&lt;&gt;"",1,0)),IF(R55&lt;&gt;"",1,IF(R58&lt;&gt;"",1,0)),IF(R61&lt;&gt;"",1,IF(R64&lt;&gt;"",1,0)),IF(R67&lt;&gt;"",1,IF(R70&lt;&gt;"",1,0)),IF(R73&lt;&gt;"",1,IF(R76&lt;&gt;"",1,0)),IF(R79&lt;&gt;"",1,IF(R82&lt;&gt;"",1,0)),IF(R85&lt;&gt;"",1,IF(R88&lt;&gt;"",1,0)),IF(R91&lt;&gt;"",1,IF(R94&lt;&gt;"",1,0)),IF(R97&lt;&gt;"",1,IF(R100&lt;&gt;"",1,0)),IF(R103&lt;&gt;"",1,IF(R106&lt;&gt;"",1,0)),IF(R109&lt;&gt;"",1,IF(R112&lt;&gt;"",1,0)),IF(R115&lt;&gt;"",1,IF(R118&lt;&gt;"",1,0)))</f>
        <v>6</v>
      </c>
      <c r="R147" s="362"/>
      <c r="S147" s="363">
        <f>SUM(IF(T12&lt;&gt;"",1,IF(T15&lt;&gt;"",1,0)),IF(T18&lt;&gt;"",1,IF(T21&lt;&gt;"",1,0)),IF(T24&lt;&gt;"",1,IF(T27&lt;&gt;"",1,0)),IF(T30&lt;&gt;"",1,IF(T33&lt;&gt;"",1,0)),IF(T37&lt;&gt;"",1,IF(T40&lt;&gt;"",1,0)),IF(T43&lt;&gt;"",1,IF(T46&lt;&gt;"",1,0)),IF(T49&lt;&gt;"",1,IF(T52&lt;&gt;"",1,0)),IF(T55&lt;&gt;"",1,IF(T58&lt;&gt;"",1,0)),IF(T61&lt;&gt;"",1,IF(T64&lt;&gt;"",1,0)),IF(T67&lt;&gt;"",1,IF(T70&lt;&gt;"",1,0)),IF(T73&lt;&gt;"",1,IF(T76&lt;&gt;"",1,0)),IF(T79&lt;&gt;"",1,IF(T82&lt;&gt;"",1,0)),IF(T85&lt;&gt;"",1,IF(T88&lt;&gt;"",1,0)),IF(T91&lt;&gt;"",1,IF(T94&lt;&gt;"",1,0)),IF(T97&lt;&gt;"",1,IF(T100&lt;&gt;"",1,0)),IF(T103&lt;&gt;"",1,IF(T106&lt;&gt;"",1,0)),IF(T109&lt;&gt;"",1,IF(T112&lt;&gt;"",1,0)),IF(T115&lt;&gt;"",1,IF(T118&lt;&gt;"",1,0)))</f>
        <v>4</v>
      </c>
      <c r="T147" s="364"/>
      <c r="U147" s="365"/>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20"/>
      <c r="BI147" s="22"/>
      <c r="BK147" s="22"/>
    </row>
    <row r="148" ht="15.0" customHeight="1">
      <c r="A148" s="306"/>
      <c r="B148" s="366" t="s">
        <v>103</v>
      </c>
      <c r="C148" s="28"/>
      <c r="D148" s="28"/>
      <c r="E148" s="28"/>
      <c r="F148" s="28"/>
      <c r="G148" s="28"/>
      <c r="H148" s="76"/>
      <c r="I148" s="367">
        <f>SUM(IF(J13=2,1,IF(J16=2,1,0)),IF(J19=2,1,IF(J22=2,1,0)),IF(J25=2,1,IF(J28=2,1,0)),IF(J31=2,1,IF(J34=2,1,0)),IF(J38=2,1,IF(J41=2,1,0)),IF(J44=2,1,IF(J47=2,1,0)),IF(J50=2,1,IF(J51=2,1,0)),IF(J56=2,1,IF(J59=2,1,0)),IF(J62=2,1,IF(J65=2,1,0)),IF(J68=2,1,IF(J71=2,1,0)),IF(J74=2,1,IF(J77=2,1,0)),IF(J80=2,1,IF(J83=2,1,0)),IF(J86=2,1,IF(J89=2,1,0)),IF(J92=2,1,IF(J95=2,1,0)),IF(J98=2,1,IF(J101=2,1,0)),IF(J104=2,1,IF(J107=2,1,0)),IF(J110=2,1,IF(J113=2,1,0)),IF(J116=2,1,IF(J119=2,1,0)))</f>
        <v>5</v>
      </c>
      <c r="J148" s="76"/>
      <c r="K148" s="367">
        <f>SUM(IF(L13=2,1,IF(L16=2,1,0)),IF(L19=2,1,IF(L22=2,1,0)),IF(L25=2,1,IF(L28=2,1,0)),IF(L31=2,1,IF(L34=2,1,0)),IF(L38=2,1,IF(L41=2,1,0)),IF(L44=2,1,IF(L47=2,1,0)),IF(L50=2,1,IF(L51=2,1,0)),IF(L56=2,1,IF(L59=2,1,0)),IF(L62=2,1,IF(L65=2,1,0)),IF(L68=2,1,IF(L71=2,1,0)),IF(L74=2,1,IF(L77=2,1,0)),IF(L80=2,1,IF(L83=2,1,0)),IF(L86=2,1,IF(L89=2,1,0)),IF(L92=2,1,IF(L95=2,1,0)),IF(L98=2,1,IF(L101=2,1,0)),IF(L104=2,1,IF(L107=2,1,0)),IF(L110=2,1,IF(L113=2,1,0)),IF(L116=2,1,IF(L119=2,1,0)))</f>
        <v>3</v>
      </c>
      <c r="L148" s="76"/>
      <c r="M148" s="367">
        <f>SUM(IF(N13=2,1,IF(N16=2,1,0)),IF(N19=2,1,IF(N22=2,1,0)),IF(N25=2,1,IF(N28=2,1,0)),IF(N31=2,1,IF(N34=2,1,0)),IF(N38=2,1,IF(N41=2,1,0)),IF(N44=2,1,IF(N47=2,1,0)),IF(N50=2,1,IF(N51=2,1,0)),IF(N56=2,1,IF(N59=2,1,0)),IF(N62=2,1,IF(N65=2,1,0)),IF(N68=2,1,IF(N71=2,1,0)),IF(N74=2,1,IF(N77=2,1,0)),IF(N80=2,1,IF(N83=2,1,0)),IF(N86=2,1,IF(N89=2,1,0)),IF(N92=2,1,IF(N95=2,1,0)),IF(N98=2,1,IF(N101=2,1,0)),IF(N104=2,1,IF(N107=2,1,0)),IF(N110=2,1,IF(N113=2,1,0)),IF(N116=2,1,IF(N119=2,1,0)))</f>
        <v>0</v>
      </c>
      <c r="N148" s="76"/>
      <c r="O148" s="367">
        <f>SUM(IF(P13=2,1,IF(P16=2,1,0)),IF(P19=2,1,IF(P22=2,1,0)),IF(P25=2,1,IF(P28=2,1,0)),IF(P31=2,1,IF(P34=2,1,0)),IF(P38=2,1,IF(P41=2,1,0)),IF(P44=2,1,IF(P47=2,1,0)),IF(P50=2,1,IF(P51=2,1,0)),IF(P56=2,1,IF(P59=2,1,0)),IF(P62=2,1,IF(P65=2,1,0)),IF(P68=2,1,IF(P71=2,1,0)),IF(P74=2,1,IF(P77=2,1,0)),IF(P80=2,1,IF(P83=2,1,0)),IF(P86=2,1,IF(P89=2,1,0)),IF(P92=2,1,IF(P95=2,1,0)),IF(P98=2,1,IF(P101=2,1,0)),IF(P104=2,1,IF(P107=2,1,0)),IF(P110=2,1,IF(P113=2,1,0)),IF(P116=2,1,IF(P119=2,1,0)))</f>
        <v>1</v>
      </c>
      <c r="P148" s="76"/>
      <c r="Q148" s="367">
        <f>SUM(IF(R13=2,1,IF(R16=2,1,0)),IF(R19=2,1,IF(R22=2,1,0)),IF(R25=2,1,IF(R28=2,1,0)),IF(R31=2,1,IF(R34=2,1,0)),IF(R38=2,1,IF(R41=2,1,0)),IF(R44=2,1,IF(R47=2,1,0)),IF(R50=2,1,IF(R51=2,1,0)),IF(R56=2,1,IF(R59=2,1,0)),IF(R62=2,1,IF(R65=2,1,0)),IF(R68=2,1,IF(R71=2,1,0)),IF(R74=2,1,IF(R77=2,1,0)),IF(R80=2,1,IF(R83=2,1,0)),IF(R86=2,1,IF(R89=2,1,0)),IF(R92=2,1,IF(R95=2,1,0)),IF(R98=2,1,IF(R101=2,1,0)),IF(R104=2,1,IF(R107=2,1,0)),IF(R110=2,1,IF(R113=2,1,0)),IF(R116=2,1,IF(R119=2,1,0)))</f>
        <v>0</v>
      </c>
      <c r="R148" s="29"/>
      <c r="S148" s="368">
        <f>SUM(IF(T13=2,1,IF(T16=2,1,0)),IF(T19=2,1,IF(T22=2,1,0)),IF(T25=2,1,IF(T28=2,1,0)),IF(T31=2,1,IF(T34=2,1,0)),IF(T38=2,1,IF(T41=2,1,0)),IF(T44=2,1,IF(T47=2,1,0)),IF(T50=2,1,IF(T51=2,1,0)),IF(T56=2,1,IF(T59=2,1,0)),IF(T62=2,1,IF(T65=2,1,0)),IF(T68=2,1,IF(T71=2,1,0)),IF(T74=2,1,IF(T77=2,1,0)),IF(T80=2,1,IF(T83=2,1,0)),IF(T86=2,1,IF(T89=2,1,0)),IF(T92=2,1,IF(T95=2,1,0)),IF(T98=2,1,IF(T101=2,1,0)),IF(T104=2,1,IF(T107=2,1,0)),IF(T110=2,1,IF(T113=2,1,0)),IF(T116=2,1,IF(T119=2,1,0)))</f>
        <v>0</v>
      </c>
      <c r="T148" s="31"/>
      <c r="U148" s="32"/>
      <c r="AV148" s="33"/>
      <c r="BI148" s="22"/>
      <c r="BK148" s="22"/>
    </row>
    <row r="149" ht="14.25" customHeight="1">
      <c r="A149" s="314"/>
      <c r="B149" s="369" t="s">
        <v>104</v>
      </c>
      <c r="C149" s="35"/>
      <c r="D149" s="370"/>
      <c r="E149" s="74"/>
      <c r="F149" s="74"/>
      <c r="G149" s="74"/>
      <c r="H149" s="35"/>
      <c r="I149" s="371"/>
      <c r="J149" s="372">
        <f t="shared" ref="J149:T149" si="2">IF($G11&lt;&gt;"",0,IF(OR(J13=1,J13=2),1,IF(OR(J16=1,J16=2),1,0)))+
IF($G17&lt;&gt;"",0,IF(OR(J19=1,J19=2),1,IF(OR(J22=1,J22=2),1,0)))+
IF($G23&lt;&gt;"",0,IF(OR(J25=1,J25=2),1,IF(OR(J28=1,J28=2),1,0)))+
IF($G29&lt;&gt;"",0,IF(OR(J31=1,J31=2),1,IF(OR(J34=1,J34=2),1,0)))+
IF($G36&lt;&gt;"",0,IF(OR(J38=1,J38=2),1,IF(OR(J41=1,J41=2),1,0)))+
IF($G42&lt;&gt;"",0,IF(OR(J44=1,J44=2),1,IF(OR(J47=1,J47=2),1,0)))+
IF($G48&lt;&gt;"",0,IF(OR(J50=1,J50=2),1,IF(OR(J53=1,J53=2),1,0)))+
IF($G54&lt;&gt;"",0,IF(OR(J56=1,J56=2),1,IF(OR(J59=1,J59=2),1,0)))+
IF($G60&lt;&gt;"",0,IF(OR(J62=1,J62=2),1,IF(OR(J65=1,J65=2),1,0)))+
IF($G66&lt;&gt;"",0,IF(OR(J68=1,J68=2),1,IF(OR(J71=1,J71=2),1,0)))+
IF($G72&lt;&gt;"",0,IF(OR(J74=1,J74=2),1,IF(OR(J77=1,J77=2),1,0)))+
IF($G78&lt;&gt;"",0,IF(OR(J80=1,J80=2),1,IF(OR(J83=1,J83=2),1,0)))+
IF($G84&lt;&gt;"",0,IF(OR(J86=1,J86=2),1,IF(OR(J89=1,J89=2),1,0)))+
IF($G90&lt;&gt;"",0,IF(OR(J92=1,J92=2),1,IF(OR(J95=1,J95=2),1,0)))+
IF($G96&lt;&gt;"",0,IF(OR(J98=1,J98=2),1,IF(OR(J101=1,J101=2),1,0)))+
IF($G102&lt;&gt;"",0,IF(OR(J104=1,J104=2),1,IF(OR(J107=1,J107=2),1,0)))+
IF($G108&lt;&gt;"",0,IF(OR(J110=1,J110=2),1,IF(OR(J113=1,J113=2),1,0)))+
IF($G114&lt;&gt;"",0,IF(OR(J116=1,J116=2),1,IF(OR(J119=1,J119=2),1,0)))</f>
        <v>3</v>
      </c>
      <c r="K149" s="372">
        <f t="shared" si="2"/>
        <v>0</v>
      </c>
      <c r="L149" s="372">
        <f t="shared" si="2"/>
        <v>2</v>
      </c>
      <c r="M149" s="372">
        <f t="shared" si="2"/>
        <v>0</v>
      </c>
      <c r="N149" s="372">
        <f t="shared" si="2"/>
        <v>0</v>
      </c>
      <c r="O149" s="372">
        <f t="shared" si="2"/>
        <v>0</v>
      </c>
      <c r="P149" s="372">
        <f t="shared" si="2"/>
        <v>0</v>
      </c>
      <c r="Q149" s="372">
        <f t="shared" si="2"/>
        <v>0</v>
      </c>
      <c r="R149" s="373">
        <f t="shared" si="2"/>
        <v>0</v>
      </c>
      <c r="S149" s="374">
        <f t="shared" si="2"/>
        <v>0</v>
      </c>
      <c r="T149" s="375">
        <f t="shared" si="2"/>
        <v>0</v>
      </c>
      <c r="U149" s="44"/>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6"/>
      <c r="BI149" s="22"/>
      <c r="BK149" s="22"/>
    </row>
    <row r="150" ht="15.0" customHeight="1">
      <c r="A150" s="376" t="s">
        <v>39</v>
      </c>
      <c r="B150" s="74"/>
      <c r="C150" s="74"/>
      <c r="D150" s="74"/>
      <c r="E150" s="74"/>
      <c r="F150" s="74"/>
      <c r="G150" s="74"/>
      <c r="H150" s="74"/>
      <c r="I150" s="377"/>
      <c r="J150" s="378" t="s">
        <v>41</v>
      </c>
      <c r="K150" s="379"/>
      <c r="L150" s="378" t="s">
        <v>42</v>
      </c>
      <c r="M150" s="380"/>
      <c r="N150" s="381" t="s">
        <v>43</v>
      </c>
      <c r="O150" s="382"/>
      <c r="P150" s="383" t="s">
        <v>42</v>
      </c>
      <c r="Q150" s="384"/>
      <c r="R150" s="381" t="s">
        <v>43</v>
      </c>
      <c r="S150" s="382"/>
      <c r="T150" s="385" t="s">
        <v>44</v>
      </c>
      <c r="U150" s="386"/>
      <c r="V150" s="383" t="s">
        <v>45</v>
      </c>
      <c r="W150" s="384"/>
      <c r="X150" s="383" t="s">
        <v>45</v>
      </c>
      <c r="Y150" s="384"/>
      <c r="Z150" s="383" t="s">
        <v>45</v>
      </c>
      <c r="AA150" s="384"/>
      <c r="AB150" s="383" t="s">
        <v>45</v>
      </c>
      <c r="AC150" s="384"/>
      <c r="AD150" s="383" t="s">
        <v>45</v>
      </c>
      <c r="AE150" s="384"/>
      <c r="AF150" s="383" t="s">
        <v>45</v>
      </c>
      <c r="AG150" s="381"/>
      <c r="AH150" s="383" t="s">
        <v>45</v>
      </c>
      <c r="AI150" s="381"/>
      <c r="AJ150" s="383" t="s">
        <v>45</v>
      </c>
      <c r="AK150" s="384"/>
      <c r="AL150" s="387" t="s">
        <v>45</v>
      </c>
      <c r="AM150" s="386"/>
      <c r="AN150" s="383" t="s">
        <v>45</v>
      </c>
      <c r="AO150" s="384"/>
      <c r="AP150" s="383" t="s">
        <v>105</v>
      </c>
      <c r="AQ150" s="384"/>
      <c r="AR150" s="383" t="s">
        <v>45</v>
      </c>
      <c r="AS150" s="384"/>
      <c r="AT150" s="383" t="s">
        <v>45</v>
      </c>
      <c r="AU150" s="384"/>
      <c r="AV150" s="385" t="s">
        <v>47</v>
      </c>
      <c r="AW150" s="388"/>
      <c r="AX150" s="389" t="s">
        <v>45</v>
      </c>
      <c r="AY150" s="390"/>
      <c r="AZ150" s="389" t="s">
        <v>45</v>
      </c>
      <c r="BA150" s="390"/>
      <c r="BB150" s="389" t="s">
        <v>48</v>
      </c>
      <c r="BC150" s="390"/>
      <c r="BD150" s="389" t="s">
        <v>46</v>
      </c>
      <c r="BE150" s="390"/>
      <c r="BF150" s="389" t="s">
        <v>46</v>
      </c>
      <c r="BG150" s="390"/>
      <c r="BH150" s="391" t="s">
        <v>45</v>
      </c>
      <c r="BI150" s="392"/>
      <c r="BJ150" s="393" t="s">
        <v>46</v>
      </c>
      <c r="BK150" s="22"/>
    </row>
    <row r="151" ht="12.0" customHeight="1">
      <c r="A151" s="394"/>
      <c r="B151" s="45"/>
      <c r="C151" s="45"/>
      <c r="D151" s="45"/>
      <c r="E151" s="45"/>
      <c r="F151" s="45"/>
      <c r="G151" s="45"/>
      <c r="H151" s="45"/>
      <c r="I151" s="395"/>
      <c r="J151" s="396" t="s">
        <v>42</v>
      </c>
      <c r="K151" s="397"/>
      <c r="L151" s="396" t="s">
        <v>43</v>
      </c>
      <c r="M151" s="379"/>
      <c r="N151" s="398" t="s">
        <v>44</v>
      </c>
      <c r="O151" s="399"/>
      <c r="P151" s="400" t="s">
        <v>43</v>
      </c>
      <c r="Q151" s="401"/>
      <c r="R151" s="402" t="s">
        <v>44</v>
      </c>
      <c r="S151" s="399"/>
      <c r="T151" s="403" t="s">
        <v>50</v>
      </c>
      <c r="U151" s="404"/>
      <c r="V151" s="400" t="s">
        <v>45</v>
      </c>
      <c r="W151" s="401"/>
      <c r="X151" s="400" t="s">
        <v>45</v>
      </c>
      <c r="Y151" s="401"/>
      <c r="Z151" s="400" t="s">
        <v>45</v>
      </c>
      <c r="AA151" s="401"/>
      <c r="AB151" s="400" t="s">
        <v>45</v>
      </c>
      <c r="AC151" s="401"/>
      <c r="AD151" s="400" t="s">
        <v>45</v>
      </c>
      <c r="AE151" s="401"/>
      <c r="AF151" s="400" t="s">
        <v>45</v>
      </c>
      <c r="AG151" s="402"/>
      <c r="AH151" s="400" t="s">
        <v>45</v>
      </c>
      <c r="AI151" s="402"/>
      <c r="AJ151" s="400" t="s">
        <v>45</v>
      </c>
      <c r="AK151" s="401"/>
      <c r="AL151" s="405" t="s">
        <v>45</v>
      </c>
      <c r="AM151" s="404"/>
      <c r="AN151" s="400" t="s">
        <v>45</v>
      </c>
      <c r="AO151" s="401"/>
      <c r="AP151" s="400" t="s">
        <v>105</v>
      </c>
      <c r="AQ151" s="401"/>
      <c r="AR151" s="400" t="s">
        <v>45</v>
      </c>
      <c r="AS151" s="401"/>
      <c r="AT151" s="400" t="s">
        <v>45</v>
      </c>
      <c r="AU151" s="401"/>
      <c r="AV151" s="403" t="s">
        <v>47</v>
      </c>
      <c r="AW151" s="388"/>
      <c r="AX151" s="406" t="s">
        <v>45</v>
      </c>
      <c r="AY151" s="401"/>
      <c r="AZ151" s="400" t="s">
        <v>45</v>
      </c>
      <c r="BA151" s="401"/>
      <c r="BB151" s="400" t="s">
        <v>48</v>
      </c>
      <c r="BC151" s="401"/>
      <c r="BD151" s="400" t="s">
        <v>46</v>
      </c>
      <c r="BE151" s="401"/>
      <c r="BF151" s="400" t="s">
        <v>46</v>
      </c>
      <c r="BG151" s="401"/>
      <c r="BH151" s="403" t="s">
        <v>45</v>
      </c>
      <c r="BI151" s="392"/>
      <c r="BJ151" s="407" t="s">
        <v>46</v>
      </c>
      <c r="BK151" s="22"/>
    </row>
    <row r="152" ht="14.25" customHeight="1">
      <c r="A152" s="408"/>
      <c r="B152" s="409"/>
    </row>
    <row r="153" ht="14.25" customHeight="1">
      <c r="A153" s="410"/>
      <c r="B153" s="409"/>
    </row>
    <row r="154" ht="14.25" customHeight="1">
      <c r="A154" s="410"/>
      <c r="B154" s="409"/>
    </row>
    <row r="155" ht="14.25" customHeight="1">
      <c r="A155" s="410"/>
      <c r="B155" s="409"/>
    </row>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00">
    <mergeCell ref="X24:X27"/>
    <mergeCell ref="X30:X33"/>
    <mergeCell ref="V37:V40"/>
    <mergeCell ref="Z37:Z40"/>
    <mergeCell ref="AD37:AD40"/>
    <mergeCell ref="V43:V46"/>
    <mergeCell ref="Z43:Z46"/>
    <mergeCell ref="AD43:AD46"/>
    <mergeCell ref="AB37:AB40"/>
    <mergeCell ref="AB43:AB46"/>
    <mergeCell ref="AF43:AF46"/>
    <mergeCell ref="AH43:AH46"/>
    <mergeCell ref="AJ43:AJ46"/>
    <mergeCell ref="AL43:AL46"/>
    <mergeCell ref="AN43:AN46"/>
    <mergeCell ref="BH43:BH46"/>
    <mergeCell ref="BJ43:BJ46"/>
    <mergeCell ref="BH49:BH52"/>
    <mergeCell ref="BJ49:BJ52"/>
    <mergeCell ref="AV43:AV46"/>
    <mergeCell ref="AV49:AV52"/>
    <mergeCell ref="AZ43:AZ46"/>
    <mergeCell ref="AZ49:AZ52"/>
    <mergeCell ref="BD43:BD46"/>
    <mergeCell ref="BD49:BD52"/>
    <mergeCell ref="AT43:AT46"/>
    <mergeCell ref="AX43:AX46"/>
    <mergeCell ref="BB43:BB46"/>
    <mergeCell ref="BF43:BF46"/>
    <mergeCell ref="AT49:AT52"/>
    <mergeCell ref="AX49:AX52"/>
    <mergeCell ref="BB49:BB52"/>
    <mergeCell ref="BF49:BF52"/>
    <mergeCell ref="G3:G7"/>
    <mergeCell ref="H3:H7"/>
    <mergeCell ref="K5:L7"/>
    <mergeCell ref="M5:N7"/>
    <mergeCell ref="O5:P7"/>
    <mergeCell ref="Q5:R7"/>
    <mergeCell ref="W6:X7"/>
    <mergeCell ref="Y6:Z7"/>
    <mergeCell ref="AA6:AB7"/>
    <mergeCell ref="AC6:AD7"/>
    <mergeCell ref="F11:F16"/>
    <mergeCell ref="G11:G16"/>
    <mergeCell ref="AF49:AF52"/>
    <mergeCell ref="AH49:AH52"/>
    <mergeCell ref="AJ49:AJ52"/>
    <mergeCell ref="AL49:AL52"/>
    <mergeCell ref="AN49:AN52"/>
    <mergeCell ref="BH67:BH70"/>
    <mergeCell ref="BJ67:BJ70"/>
    <mergeCell ref="AT67:AT70"/>
    <mergeCell ref="AV67:AV70"/>
    <mergeCell ref="AX67:AX70"/>
    <mergeCell ref="AZ67:AZ70"/>
    <mergeCell ref="BB67:BB70"/>
    <mergeCell ref="BD67:BD70"/>
    <mergeCell ref="BF67:BF70"/>
    <mergeCell ref="AB49:AB52"/>
    <mergeCell ref="AB55:AB58"/>
    <mergeCell ref="AF55:AF58"/>
    <mergeCell ref="AH55:AH58"/>
    <mergeCell ref="AJ55:AJ58"/>
    <mergeCell ref="AL55:AL58"/>
    <mergeCell ref="AN55:AN58"/>
    <mergeCell ref="BH55:BH58"/>
    <mergeCell ref="BJ55:BJ58"/>
    <mergeCell ref="AT55:AT58"/>
    <mergeCell ref="AV55:AV58"/>
    <mergeCell ref="AX55:AX58"/>
    <mergeCell ref="AZ55:AZ58"/>
    <mergeCell ref="BB55:BB58"/>
    <mergeCell ref="BD55:BD58"/>
    <mergeCell ref="BF55:BF58"/>
    <mergeCell ref="AF61:AF64"/>
    <mergeCell ref="AH61:AH64"/>
    <mergeCell ref="AJ61:AJ64"/>
    <mergeCell ref="AL61:AL64"/>
    <mergeCell ref="AN61:AN64"/>
    <mergeCell ref="AT61:AT64"/>
    <mergeCell ref="AV61:AV64"/>
    <mergeCell ref="AB61:AB64"/>
    <mergeCell ref="AB67:AB70"/>
    <mergeCell ref="AF67:AF70"/>
    <mergeCell ref="AH67:AH70"/>
    <mergeCell ref="AJ67:AJ70"/>
    <mergeCell ref="AL67:AL70"/>
    <mergeCell ref="AN67:AN70"/>
    <mergeCell ref="X61:X64"/>
    <mergeCell ref="X67:X70"/>
    <mergeCell ref="V73:V76"/>
    <mergeCell ref="X73:X76"/>
    <mergeCell ref="Z73:Z76"/>
    <mergeCell ref="AB73:AB76"/>
    <mergeCell ref="AD73:AD76"/>
    <mergeCell ref="BB73:BB76"/>
    <mergeCell ref="BD73:BD76"/>
    <mergeCell ref="BF73:BF76"/>
    <mergeCell ref="BH73:BH76"/>
    <mergeCell ref="BJ73:BJ76"/>
    <mergeCell ref="AX61:AX64"/>
    <mergeCell ref="AZ61:AZ64"/>
    <mergeCell ref="BB61:BB64"/>
    <mergeCell ref="BD61:BD64"/>
    <mergeCell ref="BF61:BF64"/>
    <mergeCell ref="BH61:BH64"/>
    <mergeCell ref="BJ61:BJ64"/>
    <mergeCell ref="AX73:AX76"/>
    <mergeCell ref="AZ73:AZ76"/>
    <mergeCell ref="AF73:AF76"/>
    <mergeCell ref="AH73:AH76"/>
    <mergeCell ref="AJ73:AJ76"/>
    <mergeCell ref="AL73:AL76"/>
    <mergeCell ref="AN73:AN76"/>
    <mergeCell ref="AT73:AT76"/>
    <mergeCell ref="AV73:AV76"/>
    <mergeCell ref="BB79:BB82"/>
    <mergeCell ref="BD79:BD82"/>
    <mergeCell ref="BF79:BF82"/>
    <mergeCell ref="BH79:BH82"/>
    <mergeCell ref="BJ79:BJ82"/>
    <mergeCell ref="AJ79:AJ82"/>
    <mergeCell ref="AL79:AL82"/>
    <mergeCell ref="AN79:AN82"/>
    <mergeCell ref="AT79:AT82"/>
    <mergeCell ref="AV79:AV82"/>
    <mergeCell ref="AX79:AX82"/>
    <mergeCell ref="AZ79:AZ82"/>
    <mergeCell ref="X79:X82"/>
    <mergeCell ref="X85:X88"/>
    <mergeCell ref="AB79:AB82"/>
    <mergeCell ref="AB85:AB88"/>
    <mergeCell ref="AZ85:AZ88"/>
    <mergeCell ref="BB85:BB88"/>
    <mergeCell ref="BD85:BD88"/>
    <mergeCell ref="BF85:BF88"/>
    <mergeCell ref="BH85:BH88"/>
    <mergeCell ref="BJ85:BJ88"/>
    <mergeCell ref="AH85:AH88"/>
    <mergeCell ref="AJ85:AJ88"/>
    <mergeCell ref="AL85:AL88"/>
    <mergeCell ref="AN85:AN88"/>
    <mergeCell ref="AT85:AT88"/>
    <mergeCell ref="AV85:AV88"/>
    <mergeCell ref="AX85:AX88"/>
    <mergeCell ref="AF79:AF82"/>
    <mergeCell ref="AF85:AF88"/>
    <mergeCell ref="AF91:AF94"/>
    <mergeCell ref="V79:V82"/>
    <mergeCell ref="Z79:Z82"/>
    <mergeCell ref="AD79:AD82"/>
    <mergeCell ref="AH79:AH82"/>
    <mergeCell ref="V85:V88"/>
    <mergeCell ref="Z85:Z88"/>
    <mergeCell ref="AD85:AD88"/>
    <mergeCell ref="BD91:BD94"/>
    <mergeCell ref="BF91:BF94"/>
    <mergeCell ref="BH91:BH94"/>
    <mergeCell ref="BJ91:BJ94"/>
    <mergeCell ref="AL91:AL94"/>
    <mergeCell ref="AN91:AN94"/>
    <mergeCell ref="AT91:AT94"/>
    <mergeCell ref="AV91:AV94"/>
    <mergeCell ref="AX91:AX94"/>
    <mergeCell ref="AZ91:AZ94"/>
    <mergeCell ref="BB91:BB94"/>
    <mergeCell ref="X91:X94"/>
    <mergeCell ref="X97:X100"/>
    <mergeCell ref="AB91:AB94"/>
    <mergeCell ref="AB97:AB100"/>
    <mergeCell ref="AZ97:AZ100"/>
    <mergeCell ref="BB97:BB100"/>
    <mergeCell ref="BD97:BD100"/>
    <mergeCell ref="BF97:BF100"/>
    <mergeCell ref="BH97:BH100"/>
    <mergeCell ref="BJ97:BJ100"/>
    <mergeCell ref="AJ91:AJ94"/>
    <mergeCell ref="AJ97:AJ100"/>
    <mergeCell ref="AL97:AL100"/>
    <mergeCell ref="AN97:AN100"/>
    <mergeCell ref="AT97:AT100"/>
    <mergeCell ref="AV97:AV100"/>
    <mergeCell ref="AX97:AX100"/>
    <mergeCell ref="AF103:AF106"/>
    <mergeCell ref="AF109:AF112"/>
    <mergeCell ref="AF115:AF118"/>
    <mergeCell ref="V103:V106"/>
    <mergeCell ref="Z103:Z106"/>
    <mergeCell ref="AD103:AD106"/>
    <mergeCell ref="AH103:AH106"/>
    <mergeCell ref="V109:V112"/>
    <mergeCell ref="Z109:Z112"/>
    <mergeCell ref="AD109:AD112"/>
    <mergeCell ref="V115:V118"/>
    <mergeCell ref="X115:X118"/>
    <mergeCell ref="Z115:Z118"/>
    <mergeCell ref="AB115:AB118"/>
    <mergeCell ref="AD115:AD118"/>
    <mergeCell ref="AH115:AH118"/>
    <mergeCell ref="AJ115:AJ118"/>
    <mergeCell ref="U147:AV149"/>
    <mergeCell ref="BD115:BD118"/>
    <mergeCell ref="BF115:BF118"/>
    <mergeCell ref="BH115:BH118"/>
    <mergeCell ref="BJ115:BJ118"/>
    <mergeCell ref="AL115:AL118"/>
    <mergeCell ref="AN115:AN118"/>
    <mergeCell ref="AT115:AT118"/>
    <mergeCell ref="AV115:AV118"/>
    <mergeCell ref="AX115:AX118"/>
    <mergeCell ref="AZ115:AZ118"/>
    <mergeCell ref="BB115:BB118"/>
    <mergeCell ref="AD97:AD100"/>
    <mergeCell ref="AF97:AF100"/>
    <mergeCell ref="V91:V94"/>
    <mergeCell ref="Z91:Z94"/>
    <mergeCell ref="AD91:AD94"/>
    <mergeCell ref="AH91:AH94"/>
    <mergeCell ref="V97:V100"/>
    <mergeCell ref="Z97:Z100"/>
    <mergeCell ref="AH97:AH100"/>
    <mergeCell ref="BB103:BB106"/>
    <mergeCell ref="BD103:BD106"/>
    <mergeCell ref="BF103:BF106"/>
    <mergeCell ref="BH103:BH106"/>
    <mergeCell ref="BJ103:BJ106"/>
    <mergeCell ref="AJ103:AJ106"/>
    <mergeCell ref="AL103:AL106"/>
    <mergeCell ref="AN103:AN106"/>
    <mergeCell ref="AT103:AT106"/>
    <mergeCell ref="AV103:AV106"/>
    <mergeCell ref="AX103:AX106"/>
    <mergeCell ref="AZ103:AZ106"/>
    <mergeCell ref="X103:X106"/>
    <mergeCell ref="X109:X112"/>
    <mergeCell ref="AB103:AB106"/>
    <mergeCell ref="AB109:AB112"/>
    <mergeCell ref="AZ109:AZ112"/>
    <mergeCell ref="BB109:BB112"/>
    <mergeCell ref="BD109:BD112"/>
    <mergeCell ref="BF109:BF112"/>
    <mergeCell ref="BH109:BH112"/>
    <mergeCell ref="BJ109:BJ112"/>
    <mergeCell ref="AH109:AH112"/>
    <mergeCell ref="AJ109:AJ112"/>
    <mergeCell ref="AL109:AL112"/>
    <mergeCell ref="AN109:AN112"/>
    <mergeCell ref="AT109:AT112"/>
    <mergeCell ref="AV109:AV112"/>
    <mergeCell ref="AX109:AX112"/>
    <mergeCell ref="I3:T3"/>
    <mergeCell ref="U3:AL5"/>
    <mergeCell ref="AW3:BJ5"/>
    <mergeCell ref="I4:N4"/>
    <mergeCell ref="O4:T4"/>
    <mergeCell ref="AE6:AF7"/>
    <mergeCell ref="AG6:AH7"/>
    <mergeCell ref="AI6:AJ7"/>
    <mergeCell ref="AK6:AL7"/>
    <mergeCell ref="AM6:AN7"/>
    <mergeCell ref="AO6:AP7"/>
    <mergeCell ref="A1:AV1"/>
    <mergeCell ref="A2:B2"/>
    <mergeCell ref="A3:A7"/>
    <mergeCell ref="B3:B7"/>
    <mergeCell ref="C3:C7"/>
    <mergeCell ref="D3:D7"/>
    <mergeCell ref="AM3:AV5"/>
    <mergeCell ref="AU6:AV7"/>
    <mergeCell ref="BG6:BH7"/>
    <mergeCell ref="BI6:BJ7"/>
    <mergeCell ref="AQ6:AR7"/>
    <mergeCell ref="AS6:AT7"/>
    <mergeCell ref="AW6:AX7"/>
    <mergeCell ref="AY6:AZ7"/>
    <mergeCell ref="BA6:BB7"/>
    <mergeCell ref="BC6:BD7"/>
    <mergeCell ref="BE6:BF7"/>
    <mergeCell ref="AX12:AX15"/>
    <mergeCell ref="AZ12:AZ15"/>
    <mergeCell ref="BB12:BB15"/>
    <mergeCell ref="BD12:BD15"/>
    <mergeCell ref="BF12:BF15"/>
    <mergeCell ref="BH12:BH15"/>
    <mergeCell ref="BJ12:BJ15"/>
    <mergeCell ref="AF12:AF15"/>
    <mergeCell ref="AH12:AH15"/>
    <mergeCell ref="AJ12:AJ15"/>
    <mergeCell ref="AL12:AL15"/>
    <mergeCell ref="AN12:AN15"/>
    <mergeCell ref="AT12:AT15"/>
    <mergeCell ref="AV12:AV15"/>
    <mergeCell ref="AB12:AB15"/>
    <mergeCell ref="AB18:AB21"/>
    <mergeCell ref="S5:T7"/>
    <mergeCell ref="U6:V7"/>
    <mergeCell ref="V12:V15"/>
    <mergeCell ref="Z12:Z15"/>
    <mergeCell ref="AD12:AD15"/>
    <mergeCell ref="V18:V21"/>
    <mergeCell ref="Z18:Z21"/>
    <mergeCell ref="AV18:AV21"/>
    <mergeCell ref="AX18:AX21"/>
    <mergeCell ref="AZ18:AZ21"/>
    <mergeCell ref="BB18:BB21"/>
    <mergeCell ref="BD18:BD21"/>
    <mergeCell ref="BF18:BF21"/>
    <mergeCell ref="BH18:BH21"/>
    <mergeCell ref="BJ18:BJ21"/>
    <mergeCell ref="AD18:AD21"/>
    <mergeCell ref="AF18:AF21"/>
    <mergeCell ref="AH18:AH21"/>
    <mergeCell ref="AJ18:AJ21"/>
    <mergeCell ref="AL18:AL21"/>
    <mergeCell ref="AN18:AN21"/>
    <mergeCell ref="AT18:AT21"/>
    <mergeCell ref="AX24:AX27"/>
    <mergeCell ref="AZ24:AZ27"/>
    <mergeCell ref="BB24:BB27"/>
    <mergeCell ref="BD24:BD27"/>
    <mergeCell ref="BF24:BF27"/>
    <mergeCell ref="BH24:BH27"/>
    <mergeCell ref="BJ24:BJ27"/>
    <mergeCell ref="AF24:AF27"/>
    <mergeCell ref="AH24:AH27"/>
    <mergeCell ref="AJ24:AJ27"/>
    <mergeCell ref="AL24:AL27"/>
    <mergeCell ref="AN24:AN27"/>
    <mergeCell ref="AT24:AT27"/>
    <mergeCell ref="AV24:AV27"/>
    <mergeCell ref="X12:X15"/>
    <mergeCell ref="X18:X21"/>
    <mergeCell ref="V24:V27"/>
    <mergeCell ref="Z24:Z27"/>
    <mergeCell ref="AD24:AD27"/>
    <mergeCell ref="V30:V33"/>
    <mergeCell ref="Z30:Z33"/>
    <mergeCell ref="AD30:AD33"/>
    <mergeCell ref="AB24:AB27"/>
    <mergeCell ref="AB30:AB33"/>
    <mergeCell ref="AF30:AF33"/>
    <mergeCell ref="AH30:AH33"/>
    <mergeCell ref="AJ30:AJ33"/>
    <mergeCell ref="AL30:AL33"/>
    <mergeCell ref="AN30:AN33"/>
    <mergeCell ref="BH30:BH33"/>
    <mergeCell ref="BJ30:BJ33"/>
    <mergeCell ref="AT30:AT33"/>
    <mergeCell ref="AV30:AV33"/>
    <mergeCell ref="AX30:AX33"/>
    <mergeCell ref="AZ30:AZ33"/>
    <mergeCell ref="BB30:BB33"/>
    <mergeCell ref="BD30:BD33"/>
    <mergeCell ref="BF30:BF33"/>
    <mergeCell ref="AX37:AX40"/>
    <mergeCell ref="AZ37:AZ40"/>
    <mergeCell ref="BB37:BB40"/>
    <mergeCell ref="BD37:BD40"/>
    <mergeCell ref="BF37:BF40"/>
    <mergeCell ref="BH37:BH40"/>
    <mergeCell ref="BJ37:BJ40"/>
    <mergeCell ref="AF37:AF40"/>
    <mergeCell ref="AH37:AH40"/>
    <mergeCell ref="AJ37:AJ40"/>
    <mergeCell ref="AL37:AL40"/>
    <mergeCell ref="AN37:AN40"/>
    <mergeCell ref="AT37:AT40"/>
    <mergeCell ref="AV37:AV40"/>
    <mergeCell ref="X37:X40"/>
    <mergeCell ref="X43:X46"/>
    <mergeCell ref="V49:V52"/>
    <mergeCell ref="Z49:Z52"/>
    <mergeCell ref="AD49:AD52"/>
    <mergeCell ref="V55:V58"/>
    <mergeCell ref="Z55:Z58"/>
    <mergeCell ref="AD55:AD58"/>
    <mergeCell ref="X49:X52"/>
    <mergeCell ref="X55:X58"/>
    <mergeCell ref="V61:V64"/>
    <mergeCell ref="Z61:Z64"/>
    <mergeCell ref="AD61:AD64"/>
    <mergeCell ref="V67:V70"/>
    <mergeCell ref="Z67:Z70"/>
    <mergeCell ref="AD67:AD70"/>
    <mergeCell ref="B148:H148"/>
    <mergeCell ref="I148:J148"/>
    <mergeCell ref="K148:L148"/>
    <mergeCell ref="M148:N148"/>
    <mergeCell ref="O148:P148"/>
    <mergeCell ref="Q148:R148"/>
    <mergeCell ref="S148:T148"/>
    <mergeCell ref="B149:C149"/>
    <mergeCell ref="D149:H149"/>
    <mergeCell ref="A144:A146"/>
    <mergeCell ref="B144:B146"/>
    <mergeCell ref="D144:D146"/>
    <mergeCell ref="A147:A149"/>
    <mergeCell ref="I147:J147"/>
    <mergeCell ref="K147:L147"/>
    <mergeCell ref="M147:N147"/>
    <mergeCell ref="D120:D122"/>
    <mergeCell ref="D123:D125"/>
    <mergeCell ref="D126:D128"/>
    <mergeCell ref="A114:A119"/>
    <mergeCell ref="A120:A122"/>
    <mergeCell ref="B120:B122"/>
    <mergeCell ref="F120:F122"/>
    <mergeCell ref="A123:A125"/>
    <mergeCell ref="B123:B125"/>
    <mergeCell ref="F123:F125"/>
    <mergeCell ref="A126:A128"/>
    <mergeCell ref="B126:B128"/>
    <mergeCell ref="F126:F128"/>
    <mergeCell ref="A129:A131"/>
    <mergeCell ref="B129:B131"/>
    <mergeCell ref="D129:D131"/>
    <mergeCell ref="F129:F131"/>
    <mergeCell ref="A132:A134"/>
    <mergeCell ref="B132:B134"/>
    <mergeCell ref="D132:D134"/>
    <mergeCell ref="F132:F134"/>
    <mergeCell ref="B135:B137"/>
    <mergeCell ref="D135:D137"/>
    <mergeCell ref="F135:F137"/>
    <mergeCell ref="F138:F140"/>
    <mergeCell ref="F141:F143"/>
    <mergeCell ref="F144:F146"/>
    <mergeCell ref="A135:A137"/>
    <mergeCell ref="A138:A140"/>
    <mergeCell ref="B138:B140"/>
    <mergeCell ref="D138:D140"/>
    <mergeCell ref="A141:A143"/>
    <mergeCell ref="B141:B143"/>
    <mergeCell ref="D141:D143"/>
    <mergeCell ref="O147:P147"/>
    <mergeCell ref="Q147:R147"/>
    <mergeCell ref="S147:T147"/>
    <mergeCell ref="E3:F7"/>
    <mergeCell ref="I5:J7"/>
    <mergeCell ref="A8:C10"/>
    <mergeCell ref="D8:H8"/>
    <mergeCell ref="D9:H9"/>
    <mergeCell ref="D10:H10"/>
    <mergeCell ref="A11:A16"/>
    <mergeCell ref="B11:B16"/>
    <mergeCell ref="D11:D16"/>
    <mergeCell ref="C12:C15"/>
    <mergeCell ref="A17:A22"/>
    <mergeCell ref="B17:B22"/>
    <mergeCell ref="F17:F22"/>
    <mergeCell ref="G17:G22"/>
    <mergeCell ref="D17:D22"/>
    <mergeCell ref="C18:C21"/>
    <mergeCell ref="B23:B28"/>
    <mergeCell ref="D23:D28"/>
    <mergeCell ref="F23:F28"/>
    <mergeCell ref="G23:G28"/>
    <mergeCell ref="C24:C27"/>
    <mergeCell ref="A23:A28"/>
    <mergeCell ref="A29:A34"/>
    <mergeCell ref="B29:B34"/>
    <mergeCell ref="D29:D34"/>
    <mergeCell ref="F29:F34"/>
    <mergeCell ref="G29:G34"/>
    <mergeCell ref="C30:C33"/>
    <mergeCell ref="H32:H34"/>
    <mergeCell ref="H36:H38"/>
    <mergeCell ref="H39:H41"/>
    <mergeCell ref="H42:H44"/>
    <mergeCell ref="H45:H47"/>
    <mergeCell ref="H11:H13"/>
    <mergeCell ref="H14:H16"/>
    <mergeCell ref="H17:H19"/>
    <mergeCell ref="H20:H22"/>
    <mergeCell ref="H23:H25"/>
    <mergeCell ref="H26:H28"/>
    <mergeCell ref="H29:H31"/>
    <mergeCell ref="D36:D41"/>
    <mergeCell ref="D42:D47"/>
    <mergeCell ref="B66:B71"/>
    <mergeCell ref="D66:D71"/>
    <mergeCell ref="F66:F71"/>
    <mergeCell ref="G66:G71"/>
    <mergeCell ref="H66:H68"/>
    <mergeCell ref="C67:C70"/>
    <mergeCell ref="H69:H71"/>
    <mergeCell ref="A66:A71"/>
    <mergeCell ref="A72:A77"/>
    <mergeCell ref="B72:B77"/>
    <mergeCell ref="D72:D77"/>
    <mergeCell ref="F72:F77"/>
    <mergeCell ref="G72:G77"/>
    <mergeCell ref="C73:C76"/>
    <mergeCell ref="H72:H74"/>
    <mergeCell ref="H75:H77"/>
    <mergeCell ref="A78:A83"/>
    <mergeCell ref="B78:B83"/>
    <mergeCell ref="F78:F83"/>
    <mergeCell ref="G78:G83"/>
    <mergeCell ref="H78:H80"/>
    <mergeCell ref="H81:H83"/>
    <mergeCell ref="D78:D83"/>
    <mergeCell ref="C79:C82"/>
    <mergeCell ref="A84:A89"/>
    <mergeCell ref="B84:B89"/>
    <mergeCell ref="F84:F89"/>
    <mergeCell ref="G84:G89"/>
    <mergeCell ref="H84:H86"/>
    <mergeCell ref="H87:H89"/>
    <mergeCell ref="D84:D89"/>
    <mergeCell ref="C85:C88"/>
    <mergeCell ref="A90:A95"/>
    <mergeCell ref="B90:B95"/>
    <mergeCell ref="F90:F95"/>
    <mergeCell ref="G90:G95"/>
    <mergeCell ref="H90:H92"/>
    <mergeCell ref="H93:H95"/>
    <mergeCell ref="D90:D95"/>
    <mergeCell ref="C91:C94"/>
    <mergeCell ref="A96:A101"/>
    <mergeCell ref="B96:B101"/>
    <mergeCell ref="F96:F101"/>
    <mergeCell ref="G96:G101"/>
    <mergeCell ref="H96:H98"/>
    <mergeCell ref="H99:H101"/>
    <mergeCell ref="D96:D101"/>
    <mergeCell ref="C97:C100"/>
    <mergeCell ref="A102:A107"/>
    <mergeCell ref="B102:B107"/>
    <mergeCell ref="F102:F107"/>
    <mergeCell ref="G102:G107"/>
    <mergeCell ref="H102:H104"/>
    <mergeCell ref="H105:H107"/>
    <mergeCell ref="D102:D107"/>
    <mergeCell ref="C103:C106"/>
    <mergeCell ref="A108:A113"/>
    <mergeCell ref="B108:B113"/>
    <mergeCell ref="F108:F113"/>
    <mergeCell ref="G108:G113"/>
    <mergeCell ref="H108:H110"/>
    <mergeCell ref="H111:H113"/>
    <mergeCell ref="D114:D119"/>
    <mergeCell ref="C115:C118"/>
    <mergeCell ref="D108:D113"/>
    <mergeCell ref="C109:C112"/>
    <mergeCell ref="B114:B119"/>
    <mergeCell ref="F114:F119"/>
    <mergeCell ref="G114:G119"/>
    <mergeCell ref="H114:H116"/>
    <mergeCell ref="H117:H119"/>
    <mergeCell ref="A36:A41"/>
    <mergeCell ref="B36:B41"/>
    <mergeCell ref="F36:F41"/>
    <mergeCell ref="G36:G41"/>
    <mergeCell ref="C37:C40"/>
    <mergeCell ref="B42:B47"/>
    <mergeCell ref="C43:C46"/>
    <mergeCell ref="H51:H53"/>
    <mergeCell ref="H54:H56"/>
    <mergeCell ref="F42:F47"/>
    <mergeCell ref="G42:G47"/>
    <mergeCell ref="F48:F53"/>
    <mergeCell ref="G48:G53"/>
    <mergeCell ref="H48:H50"/>
    <mergeCell ref="F54:F59"/>
    <mergeCell ref="G54:G59"/>
    <mergeCell ref="H57:H59"/>
    <mergeCell ref="D54:D59"/>
    <mergeCell ref="C55:C58"/>
    <mergeCell ref="A60:A65"/>
    <mergeCell ref="B60:B65"/>
    <mergeCell ref="D60:D65"/>
    <mergeCell ref="F60:F65"/>
    <mergeCell ref="G60:G65"/>
    <mergeCell ref="H60:H62"/>
    <mergeCell ref="C61:C64"/>
    <mergeCell ref="H63:H65"/>
    <mergeCell ref="A42:A47"/>
    <mergeCell ref="A48:A53"/>
    <mergeCell ref="B48:B53"/>
    <mergeCell ref="D48:D53"/>
    <mergeCell ref="C49:C52"/>
    <mergeCell ref="A54:A59"/>
    <mergeCell ref="B54:B59"/>
    <mergeCell ref="H141:H143"/>
    <mergeCell ref="H144:H146"/>
    <mergeCell ref="B147:H147"/>
    <mergeCell ref="A150:H151"/>
    <mergeCell ref="B152:C152"/>
    <mergeCell ref="B153:C153"/>
    <mergeCell ref="B154:C154"/>
    <mergeCell ref="B155:C155"/>
    <mergeCell ref="H120:H122"/>
    <mergeCell ref="H123:H125"/>
    <mergeCell ref="H126:H128"/>
    <mergeCell ref="H129:H131"/>
    <mergeCell ref="H132:H134"/>
    <mergeCell ref="H135:H137"/>
    <mergeCell ref="H138:H140"/>
  </mergeCells>
  <conditionalFormatting sqref="J13:T13 J122 J125 J128 J131 J134 J137 J140 J143 J146 L122 L125 L128 L131 L134 L137 L140 L143 L146 N122 N125 N128 N131 N134 N137 N140 N143 N146 P122 P125 P128 P131 P134 P137 P140 P143 P146 R122 R125 R128 R131 R134 R137 R140 R143 R146 T122 T125 T128 T131 T134 T137 T140 T143 T146 V122 V125 V128 V131 V134 V137 V140 V143 V146 W16 X122 X125 X128 X131 X134 X137 X140 X143 X146 Y16 Z122 Z125 Z128 Z131 Z134 Z137 Z140 Z143 Z146 AA16 AB122 AB125 AB128 AB131 AB134 AB137 AB140 AB143 AB146 AC16 AD122 AD125 AD128 AD131 AD134 AD137 AD140 AD143 AD146 AE16 AF122 AF125 AF128 AF131 AF134 AF137 AF140 AF143 AF146 AG16 AI16 AL122 AL125 AL128 AL131 AL134 AL137 AL140 AL143 AL146 AM16 AN122 AN125 AN128 AN131 AN134 AN137 AN140 AN143 AN146 AP122 AP125 AP128 AP131 AP134 AP137 AP140 AP143 AP146 AR122 AR125 AR128 AR131 AR134 AR137 AR140 AR143 AR146 AT122 AT125 AT128 AT131 AT134 AT137 AT140 AT143 AT146 AV122 AV125 AV128 AV131 AV134 AV137 AV140 AV143 AV146">
    <cfRule type="colorScale" priority="1">
      <colorScale>
        <cfvo type="min"/>
        <cfvo type="formula" val="1"/>
        <color theme="0"/>
        <color rgb="FF92D050"/>
      </colorScale>
    </cfRule>
  </conditionalFormatting>
  <conditionalFormatting sqref="J13:T13 J122 J125 J128 J131 J134 J137 J140 J143 J146 L122 L125 L128 L131 L134 L137 L140 L143 L146 N122 N125 N128 N131 N134 N137 N140 N143 N146 P122 P125 P128 P131 P134 P137 P140 P143 P146 R122 R125 R128 R131 R134 R137 R140 R143 R146 T122 T125 T128 T131 T134 T137 T140 T143 T146 V122 V125 V128 V131 V134 V137 V140 V143 V146 W16 X122 X125 X128 X131 X134 X137 X140 X143 X146 Y16 Z122 Z125 Z128 Z131 Z134 Z137 Z140 Z143 Z146 AA16 AB122 AB125 AB128 AB131 AB134 AB137 AB140 AB143 AB146 AC16 AD122 AD125 AD128 AD131 AD134 AD137 AD140 AD143 AD146 AE16 AF122 AF125 AF128 AF131 AF134 AF137 AF140 AF143 AF146 AG16 AI16 AL122 AL125 AL128 AL131 AL134 AL137 AL140 AL143 AL146 AM16 AN122 AN125 AN128 AN131 AN134 AN137 AN140 AN143 AN146 AP122 AP125 AP128 AP131 AP134 AP137 AP140 AP143 AP146 AR122 AR125 AR128 AR131 AR134 AR137 AR140 AR143 AR146 AT122 AT125 AT128 AT131 AT134 AT137 AT140 AT143 AT146 AV122 AV125 AV128 AV131 AV134 AV137 AV140 AV143 AV146">
    <cfRule type="colorScale" priority="2">
      <colorScale>
        <cfvo type="formula" val="0"/>
        <cfvo type="formula" val="1"/>
        <cfvo type="formula" val="2"/>
        <color rgb="FFFFFFFF"/>
        <color rgb="FFFFFF00"/>
        <color rgb="FF00B050"/>
      </colorScale>
    </cfRule>
  </conditionalFormatting>
  <conditionalFormatting sqref="AH122 AH125 AH128 AH131 AH134 AH137 AH140 AH143 AH146">
    <cfRule type="colorScale" priority="3">
      <colorScale>
        <cfvo type="min"/>
        <cfvo type="formula" val="1"/>
        <color theme="0"/>
        <color rgb="FF92D050"/>
      </colorScale>
    </cfRule>
  </conditionalFormatting>
  <conditionalFormatting sqref="AH122 AH125 AH128 AH131 AH134 AH137 AH140 AH143 AH146">
    <cfRule type="colorScale" priority="4">
      <colorScale>
        <cfvo type="formula" val="0"/>
        <cfvo type="formula" val="1"/>
        <cfvo type="formula" val="2"/>
        <color rgb="FFFFFFFF"/>
        <color rgb="FFFFFF00"/>
        <color rgb="FF00B050"/>
      </colorScale>
    </cfRule>
  </conditionalFormatting>
  <conditionalFormatting sqref="AJ122 AJ125 AJ128 AJ131 AJ134 AJ137 AJ140 AJ143 AJ146">
    <cfRule type="colorScale" priority="5">
      <colorScale>
        <cfvo type="min"/>
        <cfvo type="formula" val="1"/>
        <color theme="0"/>
        <color rgb="FF92D050"/>
      </colorScale>
    </cfRule>
  </conditionalFormatting>
  <conditionalFormatting sqref="AJ122 AJ125 AJ128 AJ131 AJ134 AJ137 AJ140 AJ143 AJ146">
    <cfRule type="colorScale" priority="6">
      <colorScale>
        <cfvo type="formula" val="0"/>
        <cfvo type="formula" val="1"/>
        <cfvo type="formula" val="2"/>
        <color rgb="FFFFFFFF"/>
        <color rgb="FFFFFF00"/>
        <color rgb="FF00B050"/>
      </colorScale>
    </cfRule>
  </conditionalFormatting>
  <conditionalFormatting sqref="BG35:BH35">
    <cfRule type="colorScale" priority="7">
      <colorScale>
        <cfvo type="formula" val="0"/>
        <cfvo type="formula" val="1"/>
        <cfvo type="formula" val="2"/>
        <color rgb="FFFFFFFF"/>
        <color rgb="FFFFFF00"/>
        <color rgb="FF00B050"/>
      </colorScale>
    </cfRule>
  </conditionalFormatting>
  <conditionalFormatting sqref="W22 Y22 AA22 AC22 AE22 AG22 AI22 AM22">
    <cfRule type="colorScale" priority="8">
      <colorScale>
        <cfvo type="min"/>
        <cfvo type="formula" val="1"/>
        <color theme="0"/>
        <color rgb="FF92D050"/>
      </colorScale>
    </cfRule>
  </conditionalFormatting>
  <conditionalFormatting sqref="W22 Y22 AA22 AC22 AE22 AG22 AI22 AM22">
    <cfRule type="colorScale" priority="9">
      <colorScale>
        <cfvo type="formula" val="0"/>
        <cfvo type="formula" val="1"/>
        <cfvo type="formula" val="2"/>
        <color rgb="FFFFFFFF"/>
        <color rgb="FFFFFF00"/>
        <color rgb="FF00B050"/>
      </colorScale>
    </cfRule>
  </conditionalFormatting>
  <conditionalFormatting sqref="W28 Y28 AA28 AC28 AE28 AG28 AI28 AM28">
    <cfRule type="colorScale" priority="10">
      <colorScale>
        <cfvo type="min"/>
        <cfvo type="formula" val="1"/>
        <color theme="0"/>
        <color rgb="FF92D050"/>
      </colorScale>
    </cfRule>
  </conditionalFormatting>
  <conditionalFormatting sqref="W28 Y28 AA28 AC28 AE28 AG28 AI28 AM28">
    <cfRule type="colorScale" priority="11">
      <colorScale>
        <cfvo type="formula" val="0"/>
        <cfvo type="formula" val="1"/>
        <cfvo type="formula" val="2"/>
        <color rgb="FFFFFFFF"/>
        <color rgb="FFFFFF00"/>
        <color rgb="FF00B050"/>
      </colorScale>
    </cfRule>
  </conditionalFormatting>
  <conditionalFormatting sqref="J35 L35 N35 P35 R35 T35 W34 W35:AJ35 Y34 AG34 AI34 AM34 AM35:AN35">
    <cfRule type="colorScale" priority="12">
      <colorScale>
        <cfvo type="min"/>
        <cfvo type="formula" val="1"/>
        <color theme="0"/>
        <color rgb="FF92D050"/>
      </colorScale>
    </cfRule>
  </conditionalFormatting>
  <conditionalFormatting sqref="J35 L35 N35 P35 R35 T35 W34 W35:AJ35 Y34 AG34 AI34 AM34 AM35:AN35">
    <cfRule type="colorScale" priority="13">
      <colorScale>
        <cfvo type="formula" val="0"/>
        <cfvo type="formula" val="1"/>
        <cfvo type="formula" val="2"/>
        <color rgb="FFFFFFFF"/>
        <color rgb="FFFFFF00"/>
        <color rgb="FF00B050"/>
      </colorScale>
    </cfRule>
  </conditionalFormatting>
  <conditionalFormatting sqref="AT35">
    <cfRule type="colorScale" priority="14">
      <colorScale>
        <cfvo type="min"/>
        <cfvo type="formula" val="1"/>
        <color theme="0"/>
        <color rgb="FF92D050"/>
      </colorScale>
    </cfRule>
  </conditionalFormatting>
  <conditionalFormatting sqref="AT35">
    <cfRule type="colorScale" priority="15">
      <colorScale>
        <cfvo type="formula" val="0"/>
        <cfvo type="formula" val="1"/>
        <cfvo type="formula" val="2"/>
        <color rgb="FFFFFFFF"/>
        <color rgb="FFFFFF00"/>
        <color rgb="FF00B050"/>
      </colorScale>
    </cfRule>
  </conditionalFormatting>
  <conditionalFormatting sqref="AP35">
    <cfRule type="colorScale" priority="16">
      <colorScale>
        <cfvo type="min"/>
        <cfvo type="formula" val="1"/>
        <color theme="0"/>
        <color rgb="FF92D050"/>
      </colorScale>
    </cfRule>
  </conditionalFormatting>
  <conditionalFormatting sqref="AP35">
    <cfRule type="colorScale" priority="17">
      <colorScale>
        <cfvo type="formula" val="0"/>
        <cfvo type="formula" val="1"/>
        <cfvo type="formula" val="2"/>
        <color rgb="FFFFFFFF"/>
        <color rgb="FFFFFF00"/>
        <color rgb="FF00B050"/>
      </colorScale>
    </cfRule>
  </conditionalFormatting>
  <conditionalFormatting sqref="AR35">
    <cfRule type="colorScale" priority="18">
      <colorScale>
        <cfvo type="min"/>
        <cfvo type="formula" val="1"/>
        <color theme="0"/>
        <color rgb="FF92D050"/>
      </colorScale>
    </cfRule>
  </conditionalFormatting>
  <conditionalFormatting sqref="AR35">
    <cfRule type="colorScale" priority="19">
      <colorScale>
        <cfvo type="formula" val="0"/>
        <cfvo type="formula" val="1"/>
        <cfvo type="formula" val="2"/>
        <color rgb="FFFFFFFF"/>
        <color rgb="FFFFFF00"/>
        <color rgb="FF00B050"/>
      </colorScale>
    </cfRule>
  </conditionalFormatting>
  <conditionalFormatting sqref="AV35">
    <cfRule type="colorScale" priority="20">
      <colorScale>
        <cfvo type="min"/>
        <cfvo type="formula" val="1"/>
        <color theme="0"/>
        <color rgb="FF92D050"/>
      </colorScale>
    </cfRule>
  </conditionalFormatting>
  <conditionalFormatting sqref="AV35">
    <cfRule type="colorScale" priority="21">
      <colorScale>
        <cfvo type="formula" val="0"/>
        <cfvo type="formula" val="1"/>
        <cfvo type="formula" val="2"/>
        <color rgb="FFFFFFFF"/>
        <color rgb="FFFFFF00"/>
        <color rgb="FF00B050"/>
      </colorScale>
    </cfRule>
  </conditionalFormatting>
  <conditionalFormatting sqref="U113">
    <cfRule type="colorScale" priority="22">
      <colorScale>
        <cfvo type="formula" val="0"/>
        <cfvo type="formula" val="1"/>
        <cfvo type="formula" val="2"/>
        <color rgb="FFFFFFFF"/>
        <color rgb="FFFFFF00"/>
        <color rgb="FF00B050"/>
      </colorScale>
    </cfRule>
  </conditionalFormatting>
  <conditionalFormatting sqref="U83">
    <cfRule type="colorScale" priority="23">
      <colorScale>
        <cfvo type="formula" val="0"/>
        <cfvo type="formula" val="1"/>
        <cfvo type="formula" val="2"/>
        <color rgb="FFFFFFFF"/>
        <color rgb="FFFFFF00"/>
        <color rgb="FF00B050"/>
      </colorScale>
    </cfRule>
  </conditionalFormatting>
  <conditionalFormatting sqref="AX122 AX125 AX128 AX131 AX134 AX137 AX140 AX143 AX146 AY16 AZ122 AZ125 AZ128 AZ131 AZ134 AZ137 AZ140 AZ143 AZ146 BA16 BB122 BB125 BB128 BB131 BB134 BB137 BB140 BB143 BB146 BC16 BD122 BD125 BD128 BD131 BD134 BD137 BD140 BD143 BD146 BE16 BF122 BF125 BF128 BF131 BF134 BF137 BF140 BF143 BF146">
    <cfRule type="colorScale" priority="24">
      <colorScale>
        <cfvo type="formula" val="0"/>
        <cfvo type="formula" val="1"/>
        <cfvo type="formula" val="2"/>
        <color rgb="FFFFFFFF"/>
        <color rgb="FFFFFF00"/>
        <color rgb="FF00B050"/>
      </colorScale>
    </cfRule>
  </conditionalFormatting>
  <conditionalFormatting sqref="AX35:BF35">
    <cfRule type="colorScale" priority="25">
      <colorScale>
        <cfvo type="formula" val="0"/>
        <cfvo type="formula" val="1"/>
        <cfvo type="formula" val="2"/>
        <color rgb="FFFFFFFF"/>
        <color rgb="FFFFFF00"/>
        <color rgb="FF00B050"/>
      </colorScale>
    </cfRule>
  </conditionalFormatting>
  <conditionalFormatting sqref="U65">
    <cfRule type="colorScale" priority="26">
      <colorScale>
        <cfvo type="formula" val="0"/>
        <cfvo type="formula" val="1"/>
        <cfvo type="formula" val="2"/>
        <color rgb="FFFFFFFF"/>
        <color rgb="FFFFFF00"/>
        <color rgb="FF00B050"/>
      </colorScale>
    </cfRule>
  </conditionalFormatting>
  <conditionalFormatting sqref="AX122 AX125 AX128 AX131 AX134 AX137 AX140 AX143 AX146 AY16 AZ122 AZ125 AZ128 AZ131 AZ134 AZ137 AZ140 AZ143 AZ146 BA16 BB122 BB125 BB128 BB131 BB134 BB137 BB140 BB143 BB146 BC16 BD122 BD125 BD128 BD131 BD134 BD137 BD140 BD143 BD146 BE16 BF122 BF125 BF128 BF131 BF134 BF137 BF140 BF143 BF146">
    <cfRule type="colorScale" priority="27">
      <colorScale>
        <cfvo type="min"/>
        <cfvo type="formula" val="1"/>
        <color theme="0"/>
        <color rgb="FF92D050"/>
      </colorScale>
    </cfRule>
  </conditionalFormatting>
  <conditionalFormatting sqref="AX35:BF35">
    <cfRule type="colorScale" priority="28">
      <colorScale>
        <cfvo type="min"/>
        <cfvo type="formula" val="1"/>
        <color theme="0"/>
        <color rgb="FF92D050"/>
      </colorScale>
    </cfRule>
  </conditionalFormatting>
  <conditionalFormatting sqref="AK16">
    <cfRule type="colorScale" priority="29">
      <colorScale>
        <cfvo type="min"/>
        <cfvo type="formula" val="1"/>
        <color theme="0"/>
        <color rgb="FF92D050"/>
      </colorScale>
    </cfRule>
  </conditionalFormatting>
  <conditionalFormatting sqref="AK16">
    <cfRule type="colorScale" priority="30">
      <colorScale>
        <cfvo type="formula" val="0"/>
        <cfvo type="formula" val="1"/>
        <cfvo type="formula" val="2"/>
        <color rgb="FFFFFFFF"/>
        <color rgb="FFFFFF00"/>
        <color rgb="FF00B050"/>
      </colorScale>
    </cfRule>
  </conditionalFormatting>
  <conditionalFormatting sqref="AK22">
    <cfRule type="colorScale" priority="31">
      <colorScale>
        <cfvo type="min"/>
        <cfvo type="formula" val="1"/>
        <color theme="0"/>
        <color rgb="FF92D050"/>
      </colorScale>
    </cfRule>
  </conditionalFormatting>
  <conditionalFormatting sqref="AK22">
    <cfRule type="colorScale" priority="32">
      <colorScale>
        <cfvo type="formula" val="0"/>
        <cfvo type="formula" val="1"/>
        <cfvo type="formula" val="2"/>
        <color rgb="FFFFFFFF"/>
        <color rgb="FFFFFF00"/>
        <color rgb="FF00B050"/>
      </colorScale>
    </cfRule>
  </conditionalFormatting>
  <conditionalFormatting sqref="AK28">
    <cfRule type="colorScale" priority="33">
      <colorScale>
        <cfvo type="min"/>
        <cfvo type="formula" val="1"/>
        <color theme="0"/>
        <color rgb="FF92D050"/>
      </colorScale>
    </cfRule>
  </conditionalFormatting>
  <conditionalFormatting sqref="AK28">
    <cfRule type="colorScale" priority="34">
      <colorScale>
        <cfvo type="formula" val="0"/>
        <cfvo type="formula" val="1"/>
        <cfvo type="formula" val="2"/>
        <color rgb="FFFFFFFF"/>
        <color rgb="FFFFFF00"/>
        <color rgb="FF00B050"/>
      </colorScale>
    </cfRule>
  </conditionalFormatting>
  <conditionalFormatting sqref="AK34 AK35:AL35">
    <cfRule type="colorScale" priority="35">
      <colorScale>
        <cfvo type="min"/>
        <cfvo type="formula" val="1"/>
        <color theme="0"/>
        <color rgb="FF92D050"/>
      </colorScale>
    </cfRule>
  </conditionalFormatting>
  <conditionalFormatting sqref="AK34 AK35:AL35">
    <cfRule type="colorScale" priority="36">
      <colorScale>
        <cfvo type="formula" val="0"/>
        <cfvo type="formula" val="1"/>
        <cfvo type="formula" val="2"/>
        <color rgb="FFFFFFFF"/>
        <color rgb="FFFFFF00"/>
        <color rgb="FF00B050"/>
      </colorScale>
    </cfRule>
  </conditionalFormatting>
  <conditionalFormatting sqref="U16:V16">
    <cfRule type="colorScale" priority="37">
      <colorScale>
        <cfvo type="min"/>
        <cfvo type="formula" val="1"/>
        <color theme="0"/>
        <color rgb="FF92D050"/>
      </colorScale>
    </cfRule>
  </conditionalFormatting>
  <conditionalFormatting sqref="U16:V16">
    <cfRule type="colorScale" priority="38">
      <colorScale>
        <cfvo type="formula" val="0"/>
        <cfvo type="formula" val="1"/>
        <cfvo type="formula" val="2"/>
        <color rgb="FFFFFFFF"/>
        <color rgb="FFFFFF00"/>
        <color rgb="FF00B050"/>
      </colorScale>
    </cfRule>
  </conditionalFormatting>
  <conditionalFormatting sqref="U22">
    <cfRule type="colorScale" priority="39">
      <colorScale>
        <cfvo type="min"/>
        <cfvo type="formula" val="1"/>
        <color theme="0"/>
        <color rgb="FF92D050"/>
      </colorScale>
    </cfRule>
  </conditionalFormatting>
  <conditionalFormatting sqref="U22">
    <cfRule type="colorScale" priority="40">
      <colorScale>
        <cfvo type="formula" val="0"/>
        <cfvo type="formula" val="1"/>
        <cfvo type="formula" val="2"/>
        <color rgb="FFFFFFFF"/>
        <color rgb="FFFFFF00"/>
        <color rgb="FF00B050"/>
      </colorScale>
    </cfRule>
  </conditionalFormatting>
  <conditionalFormatting sqref="U28">
    <cfRule type="colorScale" priority="41">
      <colorScale>
        <cfvo type="min"/>
        <cfvo type="formula" val="1"/>
        <color theme="0"/>
        <color rgb="FF92D050"/>
      </colorScale>
    </cfRule>
  </conditionalFormatting>
  <conditionalFormatting sqref="U28">
    <cfRule type="colorScale" priority="42">
      <colorScale>
        <cfvo type="formula" val="0"/>
        <cfvo type="formula" val="1"/>
        <cfvo type="formula" val="2"/>
        <color rgb="FFFFFFFF"/>
        <color rgb="FFFFFF00"/>
        <color rgb="FF00B050"/>
      </colorScale>
    </cfRule>
  </conditionalFormatting>
  <conditionalFormatting sqref="U34 U35:V35">
    <cfRule type="colorScale" priority="43">
      <colorScale>
        <cfvo type="min"/>
        <cfvo type="formula" val="1"/>
        <color theme="0"/>
        <color rgb="FF92D050"/>
      </colorScale>
    </cfRule>
  </conditionalFormatting>
  <conditionalFormatting sqref="U34 U35:V35">
    <cfRule type="colorScale" priority="44">
      <colorScale>
        <cfvo type="formula" val="0"/>
        <cfvo type="formula" val="1"/>
        <cfvo type="formula" val="2"/>
        <color rgb="FFFFFFFF"/>
        <color rgb="FFFFFF00"/>
        <color rgb="FF00B050"/>
      </colorScale>
    </cfRule>
  </conditionalFormatting>
  <conditionalFormatting sqref="BG16 BH122 BH125 BH128 BH131 BH134 BH137 BH140 BH143 BH146">
    <cfRule type="colorScale" priority="45">
      <colorScale>
        <cfvo type="formula" val="0"/>
        <cfvo type="formula" val="1"/>
        <cfvo type="formula" val="2"/>
        <color rgb="FFFFFFFF"/>
        <color rgb="FFFFFF00"/>
        <color rgb="FF00B050"/>
      </colorScale>
    </cfRule>
  </conditionalFormatting>
  <conditionalFormatting sqref="BG16 BH122 BH125 BH128 BH131 BH134 BH137 BH140 BH143 BH146">
    <cfRule type="colorScale" priority="46">
      <colorScale>
        <cfvo type="min"/>
        <cfvo type="formula" val="1"/>
        <color theme="0"/>
        <color rgb="FF92D050"/>
      </colorScale>
    </cfRule>
  </conditionalFormatting>
  <conditionalFormatting sqref="BG35:BH35">
    <cfRule type="colorScale" priority="47">
      <colorScale>
        <cfvo type="min"/>
        <cfvo type="formula" val="1"/>
        <color theme="0"/>
        <color rgb="FF92D050"/>
      </colorScale>
    </cfRule>
  </conditionalFormatting>
  <conditionalFormatting sqref="BI16 BJ122 BJ125 BJ128 BJ131 BJ134 BJ137 BJ140 BJ143 BJ146">
    <cfRule type="colorScale" priority="48">
      <colorScale>
        <cfvo type="formula" val="0"/>
        <cfvo type="formula" val="1"/>
        <cfvo type="formula" val="2"/>
        <color rgb="FFFFFFFF"/>
        <color rgb="FFFFFF00"/>
        <color rgb="FF00B050"/>
      </colorScale>
    </cfRule>
  </conditionalFormatting>
  <conditionalFormatting sqref="BI35:BJ35">
    <cfRule type="colorScale" priority="49">
      <colorScale>
        <cfvo type="formula" val="0"/>
        <cfvo type="formula" val="1"/>
        <cfvo type="formula" val="2"/>
        <color rgb="FFFFFFFF"/>
        <color rgb="FFFFFF00"/>
        <color rgb="FF00B050"/>
      </colorScale>
    </cfRule>
  </conditionalFormatting>
  <conditionalFormatting sqref="U47">
    <cfRule type="colorScale" priority="50">
      <colorScale>
        <cfvo type="formula" val="0"/>
        <cfvo type="formula" val="1"/>
        <cfvo type="formula" val="2"/>
        <color rgb="FFFFFFFF"/>
        <color rgb="FFFFFF00"/>
        <color rgb="FF00B050"/>
      </colorScale>
    </cfRule>
  </conditionalFormatting>
  <conditionalFormatting sqref="BI16 BJ122 BJ125 BJ128 BJ131 BJ134 BJ137 BJ140 BJ143 BJ146">
    <cfRule type="colorScale" priority="51">
      <colorScale>
        <cfvo type="min"/>
        <cfvo type="formula" val="1"/>
        <color theme="0"/>
        <color rgb="FF92D050"/>
      </colorScale>
    </cfRule>
  </conditionalFormatting>
  <conditionalFormatting sqref="BI35:BJ35">
    <cfRule type="colorScale" priority="52">
      <colorScale>
        <cfvo type="min"/>
        <cfvo type="formula" val="1"/>
        <color theme="0"/>
        <color rgb="FF92D050"/>
      </colorScale>
    </cfRule>
  </conditionalFormatting>
  <conditionalFormatting sqref="AM107">
    <cfRule type="colorScale" priority="53">
      <colorScale>
        <cfvo type="formula" val="0"/>
        <cfvo type="formula" val="1"/>
        <cfvo type="formula" val="2"/>
        <color rgb="FFFFFFFF"/>
        <color rgb="FFFFFF00"/>
        <color rgb="FF00B050"/>
      </colorScale>
    </cfRule>
  </conditionalFormatting>
  <conditionalFormatting sqref="U107">
    <cfRule type="colorScale" priority="54">
      <colorScale>
        <cfvo type="formula" val="0"/>
        <cfvo type="formula" val="1"/>
        <cfvo type="formula" val="2"/>
        <color rgb="FFFFFFFF"/>
        <color rgb="FFFFFF00"/>
        <color rgb="FF00B050"/>
      </colorScale>
    </cfRule>
  </conditionalFormatting>
  <conditionalFormatting sqref="AM119">
    <cfRule type="colorScale" priority="55">
      <colorScale>
        <cfvo type="formula" val="0"/>
        <cfvo type="formula" val="1"/>
        <cfvo type="formula" val="2"/>
        <color rgb="FFFFFFFF"/>
        <color rgb="FFFFFF00"/>
        <color rgb="FF00B050"/>
      </colorScale>
    </cfRule>
  </conditionalFormatting>
  <conditionalFormatting sqref="U119">
    <cfRule type="colorScale" priority="56">
      <colorScale>
        <cfvo type="formula" val="0"/>
        <cfvo type="formula" val="1"/>
        <cfvo type="formula" val="2"/>
        <color rgb="FFFFFFFF"/>
        <color rgb="FFFFFF00"/>
        <color rgb="FF00B050"/>
      </colorScale>
    </cfRule>
  </conditionalFormatting>
  <conditionalFormatting sqref="AM77">
    <cfRule type="colorScale" priority="57">
      <colorScale>
        <cfvo type="formula" val="0"/>
        <cfvo type="formula" val="1"/>
        <cfvo type="formula" val="2"/>
        <color rgb="FFFFFFFF"/>
        <color rgb="FFFFFF00"/>
        <color rgb="FF00B050"/>
      </colorScale>
    </cfRule>
  </conditionalFormatting>
  <conditionalFormatting sqref="U77">
    <cfRule type="colorScale" priority="58">
      <colorScale>
        <cfvo type="formula" val="0"/>
        <cfvo type="formula" val="1"/>
        <cfvo type="formula" val="2"/>
        <color rgb="FFFFFFFF"/>
        <color rgb="FFFFFF00"/>
        <color rgb="FF00B050"/>
      </colorScale>
    </cfRule>
  </conditionalFormatting>
  <conditionalFormatting sqref="AM89">
    <cfRule type="colorScale" priority="59">
      <colorScale>
        <cfvo type="min"/>
        <cfvo type="formula" val="1"/>
        <color theme="0"/>
        <color rgb="FF92D050"/>
      </colorScale>
    </cfRule>
  </conditionalFormatting>
  <conditionalFormatting sqref="AM89">
    <cfRule type="colorScale" priority="60">
      <colorScale>
        <cfvo type="formula" val="0"/>
        <cfvo type="formula" val="1"/>
        <cfvo type="formula" val="2"/>
        <color rgb="FFFFFFFF"/>
        <color rgb="FFFFFF00"/>
        <color rgb="FF00B050"/>
      </colorScale>
    </cfRule>
  </conditionalFormatting>
  <conditionalFormatting sqref="U89">
    <cfRule type="colorScale" priority="61">
      <colorScale>
        <cfvo type="min"/>
        <cfvo type="formula" val="1"/>
        <color theme="0"/>
        <color rgb="FF92D050"/>
      </colorScale>
    </cfRule>
  </conditionalFormatting>
  <conditionalFormatting sqref="U89">
    <cfRule type="colorScale" priority="62">
      <colorScale>
        <cfvo type="formula" val="0"/>
        <cfvo type="formula" val="1"/>
        <cfvo type="formula" val="2"/>
        <color rgb="FFFFFFFF"/>
        <color rgb="FFFFFF00"/>
        <color rgb="FF00B050"/>
      </colorScale>
    </cfRule>
  </conditionalFormatting>
  <conditionalFormatting sqref="AM95">
    <cfRule type="colorScale" priority="63">
      <colorScale>
        <cfvo type="min"/>
        <cfvo type="formula" val="1"/>
        <color theme="0"/>
        <color rgb="FF92D050"/>
      </colorScale>
    </cfRule>
  </conditionalFormatting>
  <conditionalFormatting sqref="AM95">
    <cfRule type="colorScale" priority="64">
      <colorScale>
        <cfvo type="formula" val="0"/>
        <cfvo type="formula" val="1"/>
        <cfvo type="formula" val="2"/>
        <color rgb="FFFFFFFF"/>
        <color rgb="FFFFFF00"/>
        <color rgb="FF00B050"/>
      </colorScale>
    </cfRule>
  </conditionalFormatting>
  <conditionalFormatting sqref="U95">
    <cfRule type="colorScale" priority="65">
      <colorScale>
        <cfvo type="min"/>
        <cfvo type="formula" val="1"/>
        <color theme="0"/>
        <color rgb="FF92D050"/>
      </colorScale>
    </cfRule>
  </conditionalFormatting>
  <conditionalFormatting sqref="U95">
    <cfRule type="colorScale" priority="66">
      <colorScale>
        <cfvo type="formula" val="0"/>
        <cfvo type="formula" val="1"/>
        <cfvo type="formula" val="2"/>
        <color rgb="FFFFFFFF"/>
        <color rgb="FFFFFF00"/>
        <color rgb="FF00B050"/>
      </colorScale>
    </cfRule>
  </conditionalFormatting>
  <conditionalFormatting sqref="AM101">
    <cfRule type="colorScale" priority="67">
      <colorScale>
        <cfvo type="min"/>
        <cfvo type="formula" val="1"/>
        <color theme="0"/>
        <color rgb="FF92D050"/>
      </colorScale>
    </cfRule>
  </conditionalFormatting>
  <conditionalFormatting sqref="AM101">
    <cfRule type="colorScale" priority="68">
      <colorScale>
        <cfvo type="formula" val="0"/>
        <cfvo type="formula" val="1"/>
        <cfvo type="formula" val="2"/>
        <color rgb="FFFFFFFF"/>
        <color rgb="FFFFFF00"/>
        <color rgb="FF00B050"/>
      </colorScale>
    </cfRule>
  </conditionalFormatting>
  <conditionalFormatting sqref="U101">
    <cfRule type="colorScale" priority="69">
      <colorScale>
        <cfvo type="min"/>
        <cfvo type="formula" val="1"/>
        <color theme="0"/>
        <color rgb="FF92D050"/>
      </colorScale>
    </cfRule>
  </conditionalFormatting>
  <conditionalFormatting sqref="U101">
    <cfRule type="colorScale" priority="70">
      <colorScale>
        <cfvo type="formula" val="0"/>
        <cfvo type="formula" val="1"/>
        <cfvo type="formula" val="2"/>
        <color rgb="FFFFFFFF"/>
        <color rgb="FFFFFF00"/>
        <color rgb="FF00B050"/>
      </colorScale>
    </cfRule>
  </conditionalFormatting>
  <conditionalFormatting sqref="AM107">
    <cfRule type="colorScale" priority="71">
      <colorScale>
        <cfvo type="min"/>
        <cfvo type="formula" val="1"/>
        <color theme="0"/>
        <color rgb="FF92D050"/>
      </colorScale>
    </cfRule>
  </conditionalFormatting>
  <conditionalFormatting sqref="U107">
    <cfRule type="colorScale" priority="72">
      <colorScale>
        <cfvo type="min"/>
        <cfvo type="formula" val="1"/>
        <color theme="0"/>
        <color rgb="FF92D050"/>
      </colorScale>
    </cfRule>
  </conditionalFormatting>
  <conditionalFormatting sqref="AM113">
    <cfRule type="colorScale" priority="73">
      <colorScale>
        <cfvo type="min"/>
        <cfvo type="formula" val="1"/>
        <color theme="0"/>
        <color rgb="FF92D050"/>
      </colorScale>
    </cfRule>
  </conditionalFormatting>
  <conditionalFormatting sqref="AM113">
    <cfRule type="colorScale" priority="74">
      <colorScale>
        <cfvo type="formula" val="0"/>
        <cfvo type="formula" val="1"/>
        <cfvo type="formula" val="2"/>
        <color rgb="FFFFFFFF"/>
        <color rgb="FFFFFF00"/>
        <color rgb="FF00B050"/>
      </colorScale>
    </cfRule>
  </conditionalFormatting>
  <conditionalFormatting sqref="U113">
    <cfRule type="colorScale" priority="75">
      <colorScale>
        <cfvo type="min"/>
        <cfvo type="formula" val="1"/>
        <color theme="0"/>
        <color rgb="FF92D050"/>
      </colorScale>
    </cfRule>
  </conditionalFormatting>
  <conditionalFormatting sqref="AM119">
    <cfRule type="colorScale" priority="76">
      <colorScale>
        <cfvo type="min"/>
        <cfvo type="formula" val="1"/>
        <color theme="0"/>
        <color rgb="FF92D050"/>
      </colorScale>
    </cfRule>
  </conditionalFormatting>
  <conditionalFormatting sqref="U119">
    <cfRule type="colorScale" priority="77">
      <colorScale>
        <cfvo type="min"/>
        <cfvo type="formula" val="1"/>
        <color theme="0"/>
        <color rgb="FF92D050"/>
      </colorScale>
    </cfRule>
  </conditionalFormatting>
  <conditionalFormatting sqref="AM83">
    <cfRule type="colorScale" priority="78">
      <colorScale>
        <cfvo type="min"/>
        <cfvo type="formula" val="1"/>
        <color theme="0"/>
        <color rgb="FF92D050"/>
      </colorScale>
    </cfRule>
  </conditionalFormatting>
  <conditionalFormatting sqref="AM83">
    <cfRule type="colorScale" priority="79">
      <colorScale>
        <cfvo type="formula" val="0"/>
        <cfvo type="formula" val="1"/>
        <cfvo type="formula" val="2"/>
        <color rgb="FFFFFFFF"/>
        <color rgb="FFFFFF00"/>
        <color rgb="FF00B050"/>
      </colorScale>
    </cfRule>
  </conditionalFormatting>
  <conditionalFormatting sqref="U83">
    <cfRule type="colorScale" priority="80">
      <colorScale>
        <cfvo type="min"/>
        <cfvo type="formula" val="1"/>
        <color theme="0"/>
        <color rgb="FF92D050"/>
      </colorScale>
    </cfRule>
  </conditionalFormatting>
  <conditionalFormatting sqref="AM77">
    <cfRule type="colorScale" priority="81">
      <colorScale>
        <cfvo type="min"/>
        <cfvo type="formula" val="1"/>
        <color theme="0"/>
        <color rgb="FF92D050"/>
      </colorScale>
    </cfRule>
  </conditionalFormatting>
  <conditionalFormatting sqref="U77">
    <cfRule type="colorScale" priority="82">
      <colorScale>
        <cfvo type="min"/>
        <cfvo type="formula" val="1"/>
        <color theme="0"/>
        <color rgb="FF92D050"/>
      </colorScale>
    </cfRule>
  </conditionalFormatting>
  <conditionalFormatting sqref="AM71">
    <cfRule type="colorScale" priority="83">
      <colorScale>
        <cfvo type="min"/>
        <cfvo type="formula" val="1"/>
        <color theme="0"/>
        <color rgb="FF92D050"/>
      </colorScale>
    </cfRule>
  </conditionalFormatting>
  <conditionalFormatting sqref="AM71">
    <cfRule type="colorScale" priority="84">
      <colorScale>
        <cfvo type="formula" val="0"/>
        <cfvo type="formula" val="1"/>
        <cfvo type="formula" val="2"/>
        <color rgb="FFFFFFFF"/>
        <color rgb="FFFFFF00"/>
        <color rgb="FF00B050"/>
      </colorScale>
    </cfRule>
  </conditionalFormatting>
  <conditionalFormatting sqref="U71">
    <cfRule type="colorScale" priority="85">
      <colorScale>
        <cfvo type="min"/>
        <cfvo type="formula" val="1"/>
        <color theme="0"/>
        <color rgb="FF92D050"/>
      </colorScale>
    </cfRule>
  </conditionalFormatting>
  <conditionalFormatting sqref="U71">
    <cfRule type="colorScale" priority="86">
      <colorScale>
        <cfvo type="formula" val="0"/>
        <cfvo type="formula" val="1"/>
        <cfvo type="formula" val="2"/>
        <color rgb="FFFFFFFF"/>
        <color rgb="FFFFFF00"/>
        <color rgb="FF00B050"/>
      </colorScale>
    </cfRule>
  </conditionalFormatting>
  <conditionalFormatting sqref="AM65">
    <cfRule type="colorScale" priority="87">
      <colorScale>
        <cfvo type="min"/>
        <cfvo type="formula" val="1"/>
        <color theme="0"/>
        <color rgb="FF92D050"/>
      </colorScale>
    </cfRule>
  </conditionalFormatting>
  <conditionalFormatting sqref="AM65">
    <cfRule type="colorScale" priority="88">
      <colorScale>
        <cfvo type="formula" val="0"/>
        <cfvo type="formula" val="1"/>
        <cfvo type="formula" val="2"/>
        <color rgb="FFFFFFFF"/>
        <color rgb="FFFFFF00"/>
        <color rgb="FF00B050"/>
      </colorScale>
    </cfRule>
  </conditionalFormatting>
  <conditionalFormatting sqref="U65">
    <cfRule type="colorScale" priority="89">
      <colorScale>
        <cfvo type="min"/>
        <cfvo type="formula" val="1"/>
        <color theme="0"/>
        <color rgb="FF92D050"/>
      </colorScale>
    </cfRule>
  </conditionalFormatting>
  <conditionalFormatting sqref="AM59">
    <cfRule type="colorScale" priority="90">
      <colorScale>
        <cfvo type="min"/>
        <cfvo type="formula" val="1"/>
        <color theme="0"/>
        <color rgb="FF92D050"/>
      </colorScale>
    </cfRule>
  </conditionalFormatting>
  <conditionalFormatting sqref="AM59">
    <cfRule type="colorScale" priority="91">
      <colorScale>
        <cfvo type="formula" val="0"/>
        <cfvo type="formula" val="1"/>
        <cfvo type="formula" val="2"/>
        <color rgb="FFFFFFFF"/>
        <color rgb="FFFFFF00"/>
        <color rgb="FF00B050"/>
      </colorScale>
    </cfRule>
  </conditionalFormatting>
  <conditionalFormatting sqref="U59">
    <cfRule type="colorScale" priority="92">
      <colorScale>
        <cfvo type="min"/>
        <cfvo type="formula" val="1"/>
        <color theme="0"/>
        <color rgb="FF92D050"/>
      </colorScale>
    </cfRule>
  </conditionalFormatting>
  <conditionalFormatting sqref="U59">
    <cfRule type="colorScale" priority="93">
      <colorScale>
        <cfvo type="formula" val="0"/>
        <cfvo type="formula" val="1"/>
        <cfvo type="formula" val="2"/>
        <color rgb="FFFFFFFF"/>
        <color rgb="FFFFFF00"/>
        <color rgb="FF00B050"/>
      </colorScale>
    </cfRule>
  </conditionalFormatting>
  <conditionalFormatting sqref="AM53">
    <cfRule type="colorScale" priority="94">
      <colorScale>
        <cfvo type="min"/>
        <cfvo type="formula" val="1"/>
        <color theme="0"/>
        <color rgb="FF92D050"/>
      </colorScale>
    </cfRule>
  </conditionalFormatting>
  <conditionalFormatting sqref="AM53">
    <cfRule type="colorScale" priority="95">
      <colorScale>
        <cfvo type="formula" val="0"/>
        <cfvo type="formula" val="1"/>
        <cfvo type="formula" val="2"/>
        <color rgb="FFFFFFFF"/>
        <color rgb="FFFFFF00"/>
        <color rgb="FF00B050"/>
      </colorScale>
    </cfRule>
  </conditionalFormatting>
  <conditionalFormatting sqref="U53">
    <cfRule type="colorScale" priority="96">
      <colorScale>
        <cfvo type="min"/>
        <cfvo type="formula" val="1"/>
        <color theme="0"/>
        <color rgb="FF92D050"/>
      </colorScale>
    </cfRule>
  </conditionalFormatting>
  <conditionalFormatting sqref="U53">
    <cfRule type="colorScale" priority="97">
      <colorScale>
        <cfvo type="formula" val="0"/>
        <cfvo type="formula" val="1"/>
        <cfvo type="formula" val="2"/>
        <color rgb="FFFFFFFF"/>
        <color rgb="FFFFFF00"/>
        <color rgb="FF00B050"/>
      </colorScale>
    </cfRule>
  </conditionalFormatting>
  <conditionalFormatting sqref="AM47">
    <cfRule type="colorScale" priority="98">
      <colorScale>
        <cfvo type="min"/>
        <cfvo type="formula" val="1"/>
        <color theme="0"/>
        <color rgb="FF92D050"/>
      </colorScale>
    </cfRule>
  </conditionalFormatting>
  <conditionalFormatting sqref="AM47">
    <cfRule type="colorScale" priority="99">
      <colorScale>
        <cfvo type="formula" val="0"/>
        <cfvo type="formula" val="1"/>
        <cfvo type="formula" val="2"/>
        <color rgb="FFFFFFFF"/>
        <color rgb="FFFFFF00"/>
        <color rgb="FF00B050"/>
      </colorScale>
    </cfRule>
  </conditionalFormatting>
  <conditionalFormatting sqref="U47">
    <cfRule type="colorScale" priority="100">
      <colorScale>
        <cfvo type="min"/>
        <cfvo type="formula" val="1"/>
        <color theme="0"/>
        <color rgb="FF92D050"/>
      </colorScale>
    </cfRule>
  </conditionalFormatting>
  <conditionalFormatting sqref="AM41">
    <cfRule type="colorScale" priority="101">
      <colorScale>
        <cfvo type="min"/>
        <cfvo type="formula" val="1"/>
        <color theme="0"/>
        <color rgb="FF92D050"/>
      </colorScale>
    </cfRule>
  </conditionalFormatting>
  <conditionalFormatting sqref="AM41">
    <cfRule type="colorScale" priority="102">
      <colorScale>
        <cfvo type="formula" val="0"/>
        <cfvo type="formula" val="1"/>
        <cfvo type="formula" val="2"/>
        <color rgb="FFFFFFFF"/>
        <color rgb="FFFFFF00"/>
        <color rgb="FF00B050"/>
      </colorScale>
    </cfRule>
  </conditionalFormatting>
  <conditionalFormatting sqref="U41">
    <cfRule type="colorScale" priority="103">
      <colorScale>
        <cfvo type="min"/>
        <cfvo type="formula" val="1"/>
        <color theme="0"/>
        <color rgb="FF92D050"/>
      </colorScale>
    </cfRule>
  </conditionalFormatting>
  <conditionalFormatting sqref="U41">
    <cfRule type="colorScale" priority="104">
      <colorScale>
        <cfvo type="formula" val="0"/>
        <cfvo type="formula" val="1"/>
        <cfvo type="formula" val="2"/>
        <color rgb="FFFFFFFF"/>
        <color rgb="FFFFFF00"/>
        <color rgb="FF00B050"/>
      </colorScale>
    </cfRule>
  </conditionalFormatting>
  <conditionalFormatting sqref="K20 M20 O20 Q20:S20">
    <cfRule type="colorScale" priority="105">
      <colorScale>
        <cfvo type="min"/>
        <cfvo type="formula" val="1"/>
        <color theme="0"/>
        <color rgb="FF92D050"/>
      </colorScale>
    </cfRule>
  </conditionalFormatting>
  <conditionalFormatting sqref="K20 M20 O20 Q20:S20">
    <cfRule type="colorScale" priority="106">
      <colorScale>
        <cfvo type="formula" val="0"/>
        <cfvo type="formula" val="1"/>
        <cfvo type="formula" val="2"/>
        <color rgb="FFFFFFFF"/>
        <color rgb="FFFFFF00"/>
        <color rgb="FF00B050"/>
      </colorScale>
    </cfRule>
  </conditionalFormatting>
  <conditionalFormatting sqref="J20">
    <cfRule type="colorScale" priority="107">
      <colorScale>
        <cfvo type="min"/>
        <cfvo type="formula" val="1"/>
        <color theme="0"/>
        <color rgb="FF92D050"/>
      </colorScale>
    </cfRule>
  </conditionalFormatting>
  <conditionalFormatting sqref="J20">
    <cfRule type="colorScale" priority="108">
      <colorScale>
        <cfvo type="formula" val="0"/>
        <cfvo type="formula" val="1"/>
        <cfvo type="formula" val="2"/>
        <color rgb="FFFFFFFF"/>
        <color rgb="FFFFFF00"/>
        <color rgb="FF00B050"/>
      </colorScale>
    </cfRule>
  </conditionalFormatting>
  <conditionalFormatting sqref="L20">
    <cfRule type="colorScale" priority="109">
      <colorScale>
        <cfvo type="min"/>
        <cfvo type="formula" val="1"/>
        <color theme="0"/>
        <color rgb="FF92D050"/>
      </colorScale>
    </cfRule>
  </conditionalFormatting>
  <conditionalFormatting sqref="L20">
    <cfRule type="colorScale" priority="110">
      <colorScale>
        <cfvo type="formula" val="0"/>
        <cfvo type="formula" val="1"/>
        <cfvo type="formula" val="2"/>
        <color rgb="FFFFFFFF"/>
        <color rgb="FFFFFF00"/>
        <color rgb="FF00B050"/>
      </colorScale>
    </cfRule>
  </conditionalFormatting>
  <conditionalFormatting sqref="N20">
    <cfRule type="colorScale" priority="111">
      <colorScale>
        <cfvo type="min"/>
        <cfvo type="formula" val="1"/>
        <color theme="0"/>
        <color rgb="FF92D050"/>
      </colorScale>
    </cfRule>
  </conditionalFormatting>
  <conditionalFormatting sqref="N20">
    <cfRule type="colorScale" priority="112">
      <colorScale>
        <cfvo type="formula" val="0"/>
        <cfvo type="formula" val="1"/>
        <cfvo type="formula" val="2"/>
        <color rgb="FFFFFFFF"/>
        <color rgb="FFFFFF00"/>
        <color rgb="FF00B050"/>
      </colorScale>
    </cfRule>
  </conditionalFormatting>
  <conditionalFormatting sqref="P20">
    <cfRule type="colorScale" priority="113">
      <colorScale>
        <cfvo type="min"/>
        <cfvo type="formula" val="1"/>
        <color theme="0"/>
        <color rgb="FF92D050"/>
      </colorScale>
    </cfRule>
  </conditionalFormatting>
  <conditionalFormatting sqref="P20">
    <cfRule type="colorScale" priority="114">
      <colorScale>
        <cfvo type="formula" val="0"/>
        <cfvo type="formula" val="1"/>
        <cfvo type="formula" val="2"/>
        <color rgb="FFFFFFFF"/>
        <color rgb="FFFFFF00"/>
        <color rgb="FF00B050"/>
      </colorScale>
    </cfRule>
  </conditionalFormatting>
  <conditionalFormatting sqref="T20">
    <cfRule type="colorScale" priority="115">
      <colorScale>
        <cfvo type="min"/>
        <cfvo type="formula" val="1"/>
        <color theme="0"/>
        <color rgb="FF92D050"/>
      </colorScale>
    </cfRule>
  </conditionalFormatting>
  <conditionalFormatting sqref="T20">
    <cfRule type="colorScale" priority="116">
      <colorScale>
        <cfvo type="formula" val="0"/>
        <cfvo type="formula" val="1"/>
        <cfvo type="formula" val="2"/>
        <color rgb="FFFFFFFF"/>
        <color rgb="FFFFFF00"/>
        <color rgb="FF00B050"/>
      </colorScale>
    </cfRule>
  </conditionalFormatting>
  <conditionalFormatting sqref="K26 M26 O26 Q26:S26">
    <cfRule type="colorScale" priority="117">
      <colorScale>
        <cfvo type="min"/>
        <cfvo type="formula" val="1"/>
        <color theme="0"/>
        <color rgb="FF92D050"/>
      </colorScale>
    </cfRule>
  </conditionalFormatting>
  <conditionalFormatting sqref="K26 M26 O26 Q26:S26">
    <cfRule type="colorScale" priority="118">
      <colorScale>
        <cfvo type="formula" val="0"/>
        <cfvo type="formula" val="1"/>
        <cfvo type="formula" val="2"/>
        <color rgb="FFFFFFFF"/>
        <color rgb="FFFFFF00"/>
        <color rgb="FF00B050"/>
      </colorScale>
    </cfRule>
  </conditionalFormatting>
  <conditionalFormatting sqref="J26">
    <cfRule type="colorScale" priority="119">
      <colorScale>
        <cfvo type="min"/>
        <cfvo type="formula" val="1"/>
        <color theme="0"/>
        <color rgb="FF92D050"/>
      </colorScale>
    </cfRule>
  </conditionalFormatting>
  <conditionalFormatting sqref="J26">
    <cfRule type="colorScale" priority="120">
      <colorScale>
        <cfvo type="formula" val="0"/>
        <cfvo type="formula" val="1"/>
        <cfvo type="formula" val="2"/>
        <color rgb="FFFFFFFF"/>
        <color rgb="FFFFFF00"/>
        <color rgb="FF00B050"/>
      </colorScale>
    </cfRule>
  </conditionalFormatting>
  <conditionalFormatting sqref="L26">
    <cfRule type="colorScale" priority="121">
      <colorScale>
        <cfvo type="min"/>
        <cfvo type="formula" val="1"/>
        <color theme="0"/>
        <color rgb="FF92D050"/>
      </colorScale>
    </cfRule>
  </conditionalFormatting>
  <conditionalFormatting sqref="L26">
    <cfRule type="colorScale" priority="122">
      <colorScale>
        <cfvo type="formula" val="0"/>
        <cfvo type="formula" val="1"/>
        <cfvo type="formula" val="2"/>
        <color rgb="FFFFFFFF"/>
        <color rgb="FFFFFF00"/>
        <color rgb="FF00B050"/>
      </colorScale>
    </cfRule>
  </conditionalFormatting>
  <conditionalFormatting sqref="N26">
    <cfRule type="colorScale" priority="123">
      <colorScale>
        <cfvo type="min"/>
        <cfvo type="formula" val="1"/>
        <color theme="0"/>
        <color rgb="FF92D050"/>
      </colorScale>
    </cfRule>
  </conditionalFormatting>
  <conditionalFormatting sqref="N26">
    <cfRule type="colorScale" priority="124">
      <colorScale>
        <cfvo type="formula" val="0"/>
        <cfvo type="formula" val="1"/>
        <cfvo type="formula" val="2"/>
        <color rgb="FFFFFFFF"/>
        <color rgb="FFFFFF00"/>
        <color rgb="FF00B050"/>
      </colorScale>
    </cfRule>
  </conditionalFormatting>
  <conditionalFormatting sqref="P26">
    <cfRule type="colorScale" priority="125">
      <colorScale>
        <cfvo type="min"/>
        <cfvo type="formula" val="1"/>
        <color theme="0"/>
        <color rgb="FF92D050"/>
      </colorScale>
    </cfRule>
  </conditionalFormatting>
  <conditionalFormatting sqref="P26">
    <cfRule type="colorScale" priority="126">
      <colorScale>
        <cfvo type="formula" val="0"/>
        <cfvo type="formula" val="1"/>
        <cfvo type="formula" val="2"/>
        <color rgb="FFFFFFFF"/>
        <color rgb="FFFFFF00"/>
        <color rgb="FF00B050"/>
      </colorScale>
    </cfRule>
  </conditionalFormatting>
  <conditionalFormatting sqref="T26">
    <cfRule type="colorScale" priority="127">
      <colorScale>
        <cfvo type="min"/>
        <cfvo type="formula" val="1"/>
        <color theme="0"/>
        <color rgb="FF92D050"/>
      </colorScale>
    </cfRule>
  </conditionalFormatting>
  <conditionalFormatting sqref="T26">
    <cfRule type="colorScale" priority="128">
      <colorScale>
        <cfvo type="formula" val="0"/>
        <cfvo type="formula" val="1"/>
        <cfvo type="formula" val="2"/>
        <color rgb="FFFFFFFF"/>
        <color rgb="FFFFFF00"/>
        <color rgb="FF00B050"/>
      </colorScale>
    </cfRule>
  </conditionalFormatting>
  <conditionalFormatting sqref="K32 M32 O32 Q32:S32">
    <cfRule type="colorScale" priority="129">
      <colorScale>
        <cfvo type="min"/>
        <cfvo type="formula" val="1"/>
        <color theme="0"/>
        <color rgb="FF92D050"/>
      </colorScale>
    </cfRule>
  </conditionalFormatting>
  <conditionalFormatting sqref="K32 M32 O32 Q32:S32">
    <cfRule type="colorScale" priority="130">
      <colorScale>
        <cfvo type="formula" val="0"/>
        <cfvo type="formula" val="1"/>
        <cfvo type="formula" val="2"/>
        <color rgb="FFFFFFFF"/>
        <color rgb="FFFFFF00"/>
        <color rgb="FF00B050"/>
      </colorScale>
    </cfRule>
  </conditionalFormatting>
  <conditionalFormatting sqref="J32">
    <cfRule type="colorScale" priority="131">
      <colorScale>
        <cfvo type="min"/>
        <cfvo type="formula" val="1"/>
        <color theme="0"/>
        <color rgb="FF92D050"/>
      </colorScale>
    </cfRule>
  </conditionalFormatting>
  <conditionalFormatting sqref="J32">
    <cfRule type="colorScale" priority="132">
      <colorScale>
        <cfvo type="formula" val="0"/>
        <cfvo type="formula" val="1"/>
        <cfvo type="formula" val="2"/>
        <color rgb="FFFFFFFF"/>
        <color rgb="FFFFFF00"/>
        <color rgb="FF00B050"/>
      </colorScale>
    </cfRule>
  </conditionalFormatting>
  <conditionalFormatting sqref="L32">
    <cfRule type="colorScale" priority="133">
      <colorScale>
        <cfvo type="min"/>
        <cfvo type="formula" val="1"/>
        <color theme="0"/>
        <color rgb="FF92D050"/>
      </colorScale>
    </cfRule>
  </conditionalFormatting>
  <conditionalFormatting sqref="L32">
    <cfRule type="colorScale" priority="134">
      <colorScale>
        <cfvo type="formula" val="0"/>
        <cfvo type="formula" val="1"/>
        <cfvo type="formula" val="2"/>
        <color rgb="FFFFFFFF"/>
        <color rgb="FFFFFF00"/>
        <color rgb="FF00B050"/>
      </colorScale>
    </cfRule>
  </conditionalFormatting>
  <conditionalFormatting sqref="N32">
    <cfRule type="colorScale" priority="135">
      <colorScale>
        <cfvo type="min"/>
        <cfvo type="formula" val="1"/>
        <color theme="0"/>
        <color rgb="FF92D050"/>
      </colorScale>
    </cfRule>
  </conditionalFormatting>
  <conditionalFormatting sqref="N32">
    <cfRule type="colorScale" priority="136">
      <colorScale>
        <cfvo type="formula" val="0"/>
        <cfvo type="formula" val="1"/>
        <cfvo type="formula" val="2"/>
        <color rgb="FFFFFFFF"/>
        <color rgb="FFFFFF00"/>
        <color rgb="FF00B050"/>
      </colorScale>
    </cfRule>
  </conditionalFormatting>
  <conditionalFormatting sqref="P32">
    <cfRule type="colorScale" priority="137">
      <colorScale>
        <cfvo type="min"/>
        <cfvo type="formula" val="1"/>
        <color theme="0"/>
        <color rgb="FF92D050"/>
      </colorScale>
    </cfRule>
  </conditionalFormatting>
  <conditionalFormatting sqref="P32">
    <cfRule type="colorScale" priority="138">
      <colorScale>
        <cfvo type="formula" val="0"/>
        <cfvo type="formula" val="1"/>
        <cfvo type="formula" val="2"/>
        <color rgb="FFFFFFFF"/>
        <color rgb="FFFFFF00"/>
        <color rgb="FF00B050"/>
      </colorScale>
    </cfRule>
  </conditionalFormatting>
  <conditionalFormatting sqref="T32">
    <cfRule type="colorScale" priority="139">
      <colorScale>
        <cfvo type="min"/>
        <cfvo type="formula" val="1"/>
        <color theme="0"/>
        <color rgb="FF92D050"/>
      </colorScale>
    </cfRule>
  </conditionalFormatting>
  <conditionalFormatting sqref="T32">
    <cfRule type="colorScale" priority="140">
      <colorScale>
        <cfvo type="formula" val="0"/>
        <cfvo type="formula" val="1"/>
        <cfvo type="formula" val="2"/>
        <color rgb="FFFFFFFF"/>
        <color rgb="FFFFFF00"/>
        <color rgb="FF00B050"/>
      </colorScale>
    </cfRule>
  </conditionalFormatting>
  <conditionalFormatting sqref="K39 M39 O39 Q39:S39">
    <cfRule type="colorScale" priority="141">
      <colorScale>
        <cfvo type="min"/>
        <cfvo type="formula" val="1"/>
        <color theme="0"/>
        <color rgb="FF92D050"/>
      </colorScale>
    </cfRule>
  </conditionalFormatting>
  <conditionalFormatting sqref="K39 M39 O39 Q39:S39">
    <cfRule type="colorScale" priority="142">
      <colorScale>
        <cfvo type="formula" val="0"/>
        <cfvo type="formula" val="1"/>
        <cfvo type="formula" val="2"/>
        <color rgb="FFFFFFFF"/>
        <color rgb="FFFFFF00"/>
        <color rgb="FF00B050"/>
      </colorScale>
    </cfRule>
  </conditionalFormatting>
  <conditionalFormatting sqref="J39">
    <cfRule type="colorScale" priority="143">
      <colorScale>
        <cfvo type="min"/>
        <cfvo type="formula" val="1"/>
        <color theme="0"/>
        <color rgb="FF92D050"/>
      </colorScale>
    </cfRule>
  </conditionalFormatting>
  <conditionalFormatting sqref="J39">
    <cfRule type="colorScale" priority="144">
      <colorScale>
        <cfvo type="formula" val="0"/>
        <cfvo type="formula" val="1"/>
        <cfvo type="formula" val="2"/>
        <color rgb="FFFFFFFF"/>
        <color rgb="FFFFFF00"/>
        <color rgb="FF00B050"/>
      </colorScale>
    </cfRule>
  </conditionalFormatting>
  <conditionalFormatting sqref="L39">
    <cfRule type="colorScale" priority="145">
      <colorScale>
        <cfvo type="min"/>
        <cfvo type="formula" val="1"/>
        <color theme="0"/>
        <color rgb="FF92D050"/>
      </colorScale>
    </cfRule>
  </conditionalFormatting>
  <conditionalFormatting sqref="L39">
    <cfRule type="colorScale" priority="146">
      <colorScale>
        <cfvo type="formula" val="0"/>
        <cfvo type="formula" val="1"/>
        <cfvo type="formula" val="2"/>
        <color rgb="FFFFFFFF"/>
        <color rgb="FFFFFF00"/>
        <color rgb="FF00B050"/>
      </colorScale>
    </cfRule>
  </conditionalFormatting>
  <conditionalFormatting sqref="N39">
    <cfRule type="colorScale" priority="147">
      <colorScale>
        <cfvo type="min"/>
        <cfvo type="formula" val="1"/>
        <color theme="0"/>
        <color rgb="FF92D050"/>
      </colorScale>
    </cfRule>
  </conditionalFormatting>
  <conditionalFormatting sqref="N39">
    <cfRule type="colorScale" priority="148">
      <colorScale>
        <cfvo type="formula" val="0"/>
        <cfvo type="formula" val="1"/>
        <cfvo type="formula" val="2"/>
        <color rgb="FFFFFFFF"/>
        <color rgb="FFFFFF00"/>
        <color rgb="FF00B050"/>
      </colorScale>
    </cfRule>
  </conditionalFormatting>
  <conditionalFormatting sqref="P39">
    <cfRule type="colorScale" priority="149">
      <colorScale>
        <cfvo type="min"/>
        <cfvo type="formula" val="1"/>
        <color theme="0"/>
        <color rgb="FF92D050"/>
      </colorScale>
    </cfRule>
  </conditionalFormatting>
  <conditionalFormatting sqref="P39">
    <cfRule type="colorScale" priority="150">
      <colorScale>
        <cfvo type="formula" val="0"/>
        <cfvo type="formula" val="1"/>
        <cfvo type="formula" val="2"/>
        <color rgb="FFFFFFFF"/>
        <color rgb="FFFFFF00"/>
        <color rgb="FF00B050"/>
      </colorScale>
    </cfRule>
  </conditionalFormatting>
  <conditionalFormatting sqref="T39">
    <cfRule type="colorScale" priority="151">
      <colorScale>
        <cfvo type="min"/>
        <cfvo type="formula" val="1"/>
        <color theme="0"/>
        <color rgb="FF92D050"/>
      </colorScale>
    </cfRule>
  </conditionalFormatting>
  <conditionalFormatting sqref="T39">
    <cfRule type="colorScale" priority="152">
      <colorScale>
        <cfvo type="formula" val="0"/>
        <cfvo type="formula" val="1"/>
        <cfvo type="formula" val="2"/>
        <color rgb="FFFFFFFF"/>
        <color rgb="FFFFFF00"/>
        <color rgb="FF00B050"/>
      </colorScale>
    </cfRule>
  </conditionalFormatting>
  <conditionalFormatting sqref="J16:T16">
    <cfRule type="colorScale" priority="153">
      <colorScale>
        <cfvo type="min"/>
        <cfvo type="formula" val="1"/>
        <color theme="0"/>
        <color rgb="FF92D050"/>
      </colorScale>
    </cfRule>
  </conditionalFormatting>
  <conditionalFormatting sqref="J16:T16">
    <cfRule type="colorScale" priority="154">
      <colorScale>
        <cfvo type="formula" val="0"/>
        <cfvo type="formula" val="1"/>
        <cfvo type="formula" val="2"/>
        <color rgb="FFFFFFFF"/>
        <color rgb="FFFFFF00"/>
        <color rgb="FF00B050"/>
      </colorScale>
    </cfRule>
  </conditionalFormatting>
  <conditionalFormatting sqref="J19:T19">
    <cfRule type="colorScale" priority="155">
      <colorScale>
        <cfvo type="min"/>
        <cfvo type="formula" val="1"/>
        <color theme="0"/>
        <color rgb="FF92D050"/>
      </colorScale>
    </cfRule>
  </conditionalFormatting>
  <conditionalFormatting sqref="J19:T19">
    <cfRule type="colorScale" priority="156">
      <colorScale>
        <cfvo type="formula" val="0"/>
        <cfvo type="formula" val="1"/>
        <cfvo type="formula" val="2"/>
        <color rgb="FFFFFFFF"/>
        <color rgb="FFFFFF00"/>
        <color rgb="FF00B050"/>
      </colorScale>
    </cfRule>
  </conditionalFormatting>
  <conditionalFormatting sqref="J22:T22">
    <cfRule type="colorScale" priority="157">
      <colorScale>
        <cfvo type="min"/>
        <cfvo type="formula" val="1"/>
        <color theme="0"/>
        <color rgb="FF92D050"/>
      </colorScale>
    </cfRule>
  </conditionalFormatting>
  <conditionalFormatting sqref="J22:T22">
    <cfRule type="colorScale" priority="158">
      <colorScale>
        <cfvo type="formula" val="0"/>
        <cfvo type="formula" val="1"/>
        <cfvo type="formula" val="2"/>
        <color rgb="FFFFFFFF"/>
        <color rgb="FFFFFF00"/>
        <color rgb="FF00B050"/>
      </colorScale>
    </cfRule>
  </conditionalFormatting>
  <conditionalFormatting sqref="J25:T25">
    <cfRule type="colorScale" priority="159">
      <colorScale>
        <cfvo type="min"/>
        <cfvo type="formula" val="1"/>
        <color theme="0"/>
        <color rgb="FF92D050"/>
      </colorScale>
    </cfRule>
  </conditionalFormatting>
  <conditionalFormatting sqref="J25:T25">
    <cfRule type="colorScale" priority="160">
      <colorScale>
        <cfvo type="formula" val="0"/>
        <cfvo type="formula" val="1"/>
        <cfvo type="formula" val="2"/>
        <color rgb="FFFFFFFF"/>
        <color rgb="FFFFFF00"/>
        <color rgb="FF00B050"/>
      </colorScale>
    </cfRule>
  </conditionalFormatting>
  <conditionalFormatting sqref="J28:T28">
    <cfRule type="colorScale" priority="161">
      <colorScale>
        <cfvo type="min"/>
        <cfvo type="formula" val="1"/>
        <color theme="0"/>
        <color rgb="FF92D050"/>
      </colorScale>
    </cfRule>
  </conditionalFormatting>
  <conditionalFormatting sqref="J28:T28">
    <cfRule type="colorScale" priority="162">
      <colorScale>
        <cfvo type="formula" val="0"/>
        <cfvo type="formula" val="1"/>
        <cfvo type="formula" val="2"/>
        <color rgb="FFFFFFFF"/>
        <color rgb="FFFFFF00"/>
        <color rgb="FF00B050"/>
      </colorScale>
    </cfRule>
  </conditionalFormatting>
  <conditionalFormatting sqref="J31:T31">
    <cfRule type="colorScale" priority="163">
      <colorScale>
        <cfvo type="min"/>
        <cfvo type="formula" val="1"/>
        <color theme="0"/>
        <color rgb="FF92D050"/>
      </colorScale>
    </cfRule>
  </conditionalFormatting>
  <conditionalFormatting sqref="J31:T31">
    <cfRule type="colorScale" priority="164">
      <colorScale>
        <cfvo type="formula" val="0"/>
        <cfvo type="formula" val="1"/>
        <cfvo type="formula" val="2"/>
        <color rgb="FFFFFFFF"/>
        <color rgb="FFFFFF00"/>
        <color rgb="FF00B050"/>
      </colorScale>
    </cfRule>
  </conditionalFormatting>
  <conditionalFormatting sqref="J34:T34">
    <cfRule type="colorScale" priority="165">
      <colorScale>
        <cfvo type="min"/>
        <cfvo type="formula" val="1"/>
        <color theme="0"/>
        <color rgb="FF92D050"/>
      </colorScale>
    </cfRule>
  </conditionalFormatting>
  <conditionalFormatting sqref="J34:T34">
    <cfRule type="colorScale" priority="166">
      <colorScale>
        <cfvo type="formula" val="0"/>
        <cfvo type="formula" val="1"/>
        <cfvo type="formula" val="2"/>
        <color rgb="FFFFFFFF"/>
        <color rgb="FFFFFF00"/>
        <color rgb="FF00B050"/>
      </colorScale>
    </cfRule>
  </conditionalFormatting>
  <conditionalFormatting sqref="J38:T38">
    <cfRule type="colorScale" priority="167">
      <colorScale>
        <cfvo type="formula" val="0"/>
        <cfvo type="formula" val="1"/>
        <cfvo type="formula" val="2"/>
        <color rgb="FFFFFFFF"/>
        <color rgb="FFFFFF00"/>
        <color rgb="FF00B050"/>
      </colorScale>
    </cfRule>
  </conditionalFormatting>
  <conditionalFormatting sqref="J38:T38">
    <cfRule type="colorScale" priority="168">
      <colorScale>
        <cfvo type="min"/>
        <cfvo type="formula" val="1"/>
        <color theme="0"/>
        <color rgb="FF92D050"/>
      </colorScale>
    </cfRule>
  </conditionalFormatting>
  <conditionalFormatting sqref="J41:T41">
    <cfRule type="colorScale" priority="169">
      <colorScale>
        <cfvo type="formula" val="0"/>
        <cfvo type="formula" val="1"/>
        <cfvo type="formula" val="2"/>
        <color rgb="FFFFFFFF"/>
        <color rgb="FFFFFF00"/>
        <color rgb="FF00B050"/>
      </colorScale>
    </cfRule>
  </conditionalFormatting>
  <conditionalFormatting sqref="J41:T41">
    <cfRule type="colorScale" priority="170">
      <colorScale>
        <cfvo type="min"/>
        <cfvo type="formula" val="1"/>
        <color theme="0"/>
        <color rgb="FF92D050"/>
      </colorScale>
    </cfRule>
  </conditionalFormatting>
  <conditionalFormatting sqref="J44:T44">
    <cfRule type="colorScale" priority="171">
      <colorScale>
        <cfvo type="formula" val="0"/>
        <cfvo type="formula" val="1"/>
        <cfvo type="formula" val="2"/>
        <color rgb="FFFFFFFF"/>
        <color rgb="FFFFFF00"/>
        <color rgb="FF00B050"/>
      </colorScale>
    </cfRule>
  </conditionalFormatting>
  <conditionalFormatting sqref="J44:T44">
    <cfRule type="colorScale" priority="172">
      <colorScale>
        <cfvo type="min"/>
        <cfvo type="formula" val="1"/>
        <color theme="0"/>
        <color rgb="FF92D050"/>
      </colorScale>
    </cfRule>
  </conditionalFormatting>
  <conditionalFormatting sqref="J47:T47">
    <cfRule type="colorScale" priority="173">
      <colorScale>
        <cfvo type="formula" val="0"/>
        <cfvo type="formula" val="1"/>
        <cfvo type="formula" val="2"/>
        <color rgb="FFFFFFFF"/>
        <color rgb="FFFFFF00"/>
        <color rgb="FF00B050"/>
      </colorScale>
    </cfRule>
  </conditionalFormatting>
  <conditionalFormatting sqref="J47:T47">
    <cfRule type="colorScale" priority="174">
      <colorScale>
        <cfvo type="min"/>
        <cfvo type="formula" val="1"/>
        <color theme="0"/>
        <color rgb="FF92D050"/>
      </colorScale>
    </cfRule>
  </conditionalFormatting>
  <conditionalFormatting sqref="J50:T50">
    <cfRule type="colorScale" priority="175">
      <colorScale>
        <cfvo type="formula" val="0"/>
        <cfvo type="formula" val="1"/>
        <cfvo type="formula" val="2"/>
        <color rgb="FFFFFFFF"/>
        <color rgb="FFFFFF00"/>
        <color rgb="FF00B050"/>
      </colorScale>
    </cfRule>
  </conditionalFormatting>
  <conditionalFormatting sqref="J50:T50">
    <cfRule type="colorScale" priority="176">
      <colorScale>
        <cfvo type="min"/>
        <cfvo type="formula" val="1"/>
        <color theme="0"/>
        <color rgb="FF92D050"/>
      </colorScale>
    </cfRule>
  </conditionalFormatting>
  <conditionalFormatting sqref="J53:T53">
    <cfRule type="colorScale" priority="177">
      <colorScale>
        <cfvo type="formula" val="0"/>
        <cfvo type="formula" val="1"/>
        <cfvo type="formula" val="2"/>
        <color rgb="FFFFFFFF"/>
        <color rgb="FFFFFF00"/>
        <color rgb="FF00B050"/>
      </colorScale>
    </cfRule>
  </conditionalFormatting>
  <conditionalFormatting sqref="J53:T53">
    <cfRule type="colorScale" priority="178">
      <colorScale>
        <cfvo type="min"/>
        <cfvo type="formula" val="1"/>
        <color theme="0"/>
        <color rgb="FF92D050"/>
      </colorScale>
    </cfRule>
  </conditionalFormatting>
  <conditionalFormatting sqref="J56:T56">
    <cfRule type="colorScale" priority="179">
      <colorScale>
        <cfvo type="min"/>
        <cfvo type="formula" val="1"/>
        <color theme="0"/>
        <color rgb="FF92D050"/>
      </colorScale>
    </cfRule>
  </conditionalFormatting>
  <conditionalFormatting sqref="J56:T56">
    <cfRule type="colorScale" priority="180">
      <colorScale>
        <cfvo type="formula" val="0"/>
        <cfvo type="formula" val="1"/>
        <cfvo type="formula" val="2"/>
        <color rgb="FFFFFFFF"/>
        <color rgb="FFFFFF00"/>
        <color rgb="FF00B050"/>
      </colorScale>
    </cfRule>
  </conditionalFormatting>
  <conditionalFormatting sqref="J59:T59">
    <cfRule type="colorScale" priority="181">
      <colorScale>
        <cfvo type="min"/>
        <cfvo type="formula" val="1"/>
        <color theme="0"/>
        <color rgb="FF92D050"/>
      </colorScale>
    </cfRule>
  </conditionalFormatting>
  <conditionalFormatting sqref="J59:T59">
    <cfRule type="colorScale" priority="182">
      <colorScale>
        <cfvo type="formula" val="0"/>
        <cfvo type="formula" val="1"/>
        <cfvo type="formula" val="2"/>
        <color rgb="FFFFFFFF"/>
        <color rgb="FFFFFF00"/>
        <color rgb="FF00B050"/>
      </colorScale>
    </cfRule>
  </conditionalFormatting>
  <conditionalFormatting sqref="J62:T62">
    <cfRule type="colorScale" priority="183">
      <colorScale>
        <cfvo type="formula" val="0"/>
        <cfvo type="formula" val="1"/>
        <cfvo type="formula" val="2"/>
        <color rgb="FFFFFFFF"/>
        <color rgb="FFFFFF00"/>
        <color rgb="FF00B050"/>
      </colorScale>
    </cfRule>
  </conditionalFormatting>
  <conditionalFormatting sqref="J62:T62">
    <cfRule type="colorScale" priority="184">
      <colorScale>
        <cfvo type="min"/>
        <cfvo type="formula" val="1"/>
        <color theme="0"/>
        <color rgb="FF92D050"/>
      </colorScale>
    </cfRule>
  </conditionalFormatting>
  <conditionalFormatting sqref="J65:T65">
    <cfRule type="colorScale" priority="185">
      <colorScale>
        <cfvo type="formula" val="0"/>
        <cfvo type="formula" val="1"/>
        <cfvo type="formula" val="2"/>
        <color rgb="FFFFFFFF"/>
        <color rgb="FFFFFF00"/>
        <color rgb="FF00B050"/>
      </colorScale>
    </cfRule>
  </conditionalFormatting>
  <conditionalFormatting sqref="J65:T65">
    <cfRule type="colorScale" priority="186">
      <colorScale>
        <cfvo type="min"/>
        <cfvo type="formula" val="1"/>
        <color theme="0"/>
        <color rgb="FF92D050"/>
      </colorScale>
    </cfRule>
  </conditionalFormatting>
  <conditionalFormatting sqref="J68:T68">
    <cfRule type="colorScale" priority="187">
      <colorScale>
        <cfvo type="formula" val="0"/>
        <cfvo type="formula" val="1"/>
        <cfvo type="formula" val="2"/>
        <color rgb="FFFFFFFF"/>
        <color rgb="FFFFFF00"/>
        <color rgb="FF00B050"/>
      </colorScale>
    </cfRule>
  </conditionalFormatting>
  <conditionalFormatting sqref="J68:T68">
    <cfRule type="colorScale" priority="188">
      <colorScale>
        <cfvo type="min"/>
        <cfvo type="formula" val="1"/>
        <color theme="0"/>
        <color rgb="FF92D050"/>
      </colorScale>
    </cfRule>
  </conditionalFormatting>
  <conditionalFormatting sqref="J71:T71">
    <cfRule type="colorScale" priority="189">
      <colorScale>
        <cfvo type="formula" val="0"/>
        <cfvo type="formula" val="1"/>
        <cfvo type="formula" val="2"/>
        <color rgb="FFFFFFFF"/>
        <color rgb="FFFFFF00"/>
        <color rgb="FF00B050"/>
      </colorScale>
    </cfRule>
  </conditionalFormatting>
  <conditionalFormatting sqref="J71:T71">
    <cfRule type="colorScale" priority="190">
      <colorScale>
        <cfvo type="min"/>
        <cfvo type="formula" val="1"/>
        <color theme="0"/>
        <color rgb="FF92D050"/>
      </colorScale>
    </cfRule>
  </conditionalFormatting>
  <conditionalFormatting sqref="J74:T74">
    <cfRule type="colorScale" priority="191">
      <colorScale>
        <cfvo type="formula" val="0"/>
        <cfvo type="formula" val="1"/>
        <cfvo type="formula" val="2"/>
        <color rgb="FFFFFFFF"/>
        <color rgb="FFFFFF00"/>
        <color rgb="FF00B050"/>
      </colorScale>
    </cfRule>
  </conditionalFormatting>
  <conditionalFormatting sqref="J74:T74">
    <cfRule type="colorScale" priority="192">
      <colorScale>
        <cfvo type="min"/>
        <cfvo type="formula" val="1"/>
        <color theme="0"/>
        <color rgb="FF92D050"/>
      </colorScale>
    </cfRule>
  </conditionalFormatting>
  <conditionalFormatting sqref="J77:T77">
    <cfRule type="colorScale" priority="193">
      <colorScale>
        <cfvo type="formula" val="0"/>
        <cfvo type="formula" val="1"/>
        <cfvo type="formula" val="2"/>
        <color rgb="FFFFFFFF"/>
        <color rgb="FFFFFF00"/>
        <color rgb="FF00B050"/>
      </colorScale>
    </cfRule>
  </conditionalFormatting>
  <conditionalFormatting sqref="J77:T77">
    <cfRule type="colorScale" priority="194">
      <colorScale>
        <cfvo type="min"/>
        <cfvo type="formula" val="1"/>
        <color theme="0"/>
        <color rgb="FF92D050"/>
      </colorScale>
    </cfRule>
  </conditionalFormatting>
  <conditionalFormatting sqref="J80:T80">
    <cfRule type="colorScale" priority="195">
      <colorScale>
        <cfvo type="formula" val="0"/>
        <cfvo type="formula" val="1"/>
        <cfvo type="formula" val="2"/>
        <color rgb="FFFFFFFF"/>
        <color rgb="FFFFFF00"/>
        <color rgb="FF00B050"/>
      </colorScale>
    </cfRule>
  </conditionalFormatting>
  <conditionalFormatting sqref="J80:T80">
    <cfRule type="colorScale" priority="196">
      <colorScale>
        <cfvo type="min"/>
        <cfvo type="formula" val="1"/>
        <color theme="0"/>
        <color rgb="FF92D050"/>
      </colorScale>
    </cfRule>
  </conditionalFormatting>
  <conditionalFormatting sqref="J83:T83">
    <cfRule type="colorScale" priority="197">
      <colorScale>
        <cfvo type="formula" val="0"/>
        <cfvo type="formula" val="1"/>
        <cfvo type="formula" val="2"/>
        <color rgb="FFFFFFFF"/>
        <color rgb="FFFFFF00"/>
        <color rgb="FF00B050"/>
      </colorScale>
    </cfRule>
  </conditionalFormatting>
  <conditionalFormatting sqref="J83:T83">
    <cfRule type="colorScale" priority="198">
      <colorScale>
        <cfvo type="min"/>
        <cfvo type="formula" val="1"/>
        <color theme="0"/>
        <color rgb="FF92D050"/>
      </colorScale>
    </cfRule>
  </conditionalFormatting>
  <conditionalFormatting sqref="J86:T86">
    <cfRule type="colorScale" priority="199">
      <colorScale>
        <cfvo type="formula" val="0"/>
        <cfvo type="formula" val="1"/>
        <cfvo type="formula" val="2"/>
        <color rgb="FFFFFFFF"/>
        <color rgb="FFFFFF00"/>
        <color rgb="FF00B050"/>
      </colorScale>
    </cfRule>
  </conditionalFormatting>
  <conditionalFormatting sqref="J86:T86">
    <cfRule type="colorScale" priority="200">
      <colorScale>
        <cfvo type="min"/>
        <cfvo type="formula" val="1"/>
        <color theme="0"/>
        <color rgb="FF92D050"/>
      </colorScale>
    </cfRule>
  </conditionalFormatting>
  <conditionalFormatting sqref="J89:T89">
    <cfRule type="colorScale" priority="201">
      <colorScale>
        <cfvo type="formula" val="0"/>
        <cfvo type="formula" val="1"/>
        <cfvo type="formula" val="2"/>
        <color rgb="FFFFFFFF"/>
        <color rgb="FFFFFF00"/>
        <color rgb="FF00B050"/>
      </colorScale>
    </cfRule>
  </conditionalFormatting>
  <conditionalFormatting sqref="J89:T89">
    <cfRule type="colorScale" priority="202">
      <colorScale>
        <cfvo type="min"/>
        <cfvo type="formula" val="1"/>
        <color theme="0"/>
        <color rgb="FF92D050"/>
      </colorScale>
    </cfRule>
  </conditionalFormatting>
  <conditionalFormatting sqref="J92:T92">
    <cfRule type="colorScale" priority="203">
      <colorScale>
        <cfvo type="formula" val="0"/>
        <cfvo type="formula" val="1"/>
        <cfvo type="formula" val="2"/>
        <color rgb="FFFFFFFF"/>
        <color rgb="FFFFFF00"/>
        <color rgb="FF00B050"/>
      </colorScale>
    </cfRule>
  </conditionalFormatting>
  <conditionalFormatting sqref="J92:T92">
    <cfRule type="colorScale" priority="204">
      <colorScale>
        <cfvo type="min"/>
        <cfvo type="formula" val="1"/>
        <color theme="0"/>
        <color rgb="FF92D050"/>
      </colorScale>
    </cfRule>
  </conditionalFormatting>
  <conditionalFormatting sqref="J95:T95">
    <cfRule type="colorScale" priority="205">
      <colorScale>
        <cfvo type="formula" val="0"/>
        <cfvo type="formula" val="1"/>
        <cfvo type="formula" val="2"/>
        <color rgb="FFFFFFFF"/>
        <color rgb="FFFFFF00"/>
        <color rgb="FF00B050"/>
      </colorScale>
    </cfRule>
  </conditionalFormatting>
  <conditionalFormatting sqref="J95:T95">
    <cfRule type="colorScale" priority="206">
      <colorScale>
        <cfvo type="min"/>
        <cfvo type="formula" val="1"/>
        <color theme="0"/>
        <color rgb="FF92D050"/>
      </colorScale>
    </cfRule>
  </conditionalFormatting>
  <conditionalFormatting sqref="J98:T98">
    <cfRule type="colorScale" priority="207">
      <colorScale>
        <cfvo type="formula" val="0"/>
        <cfvo type="formula" val="1"/>
        <cfvo type="formula" val="2"/>
        <color rgb="FFFFFFFF"/>
        <color rgb="FFFFFF00"/>
        <color rgb="FF00B050"/>
      </colorScale>
    </cfRule>
  </conditionalFormatting>
  <conditionalFormatting sqref="J98:T98">
    <cfRule type="colorScale" priority="208">
      <colorScale>
        <cfvo type="min"/>
        <cfvo type="formula" val="1"/>
        <color theme="0"/>
        <color rgb="FF92D050"/>
      </colorScale>
    </cfRule>
  </conditionalFormatting>
  <conditionalFormatting sqref="J101:T101">
    <cfRule type="colorScale" priority="209">
      <colorScale>
        <cfvo type="formula" val="0"/>
        <cfvo type="formula" val="1"/>
        <cfvo type="formula" val="2"/>
        <color rgb="FFFFFFFF"/>
        <color rgb="FFFFFF00"/>
        <color rgb="FF00B050"/>
      </colorScale>
    </cfRule>
  </conditionalFormatting>
  <conditionalFormatting sqref="J101:T101">
    <cfRule type="colorScale" priority="210">
      <colorScale>
        <cfvo type="min"/>
        <cfvo type="formula" val="1"/>
        <color theme="0"/>
        <color rgb="FF92D050"/>
      </colorScale>
    </cfRule>
  </conditionalFormatting>
  <conditionalFormatting sqref="J104:T104">
    <cfRule type="colorScale" priority="211">
      <colorScale>
        <cfvo type="formula" val="0"/>
        <cfvo type="formula" val="1"/>
        <cfvo type="formula" val="2"/>
        <color rgb="FFFFFFFF"/>
        <color rgb="FFFFFF00"/>
        <color rgb="FF00B050"/>
      </colorScale>
    </cfRule>
  </conditionalFormatting>
  <conditionalFormatting sqref="J104:T104">
    <cfRule type="colorScale" priority="212">
      <colorScale>
        <cfvo type="min"/>
        <cfvo type="formula" val="1"/>
        <color theme="0"/>
        <color rgb="FF92D050"/>
      </colorScale>
    </cfRule>
  </conditionalFormatting>
  <conditionalFormatting sqref="J107:T107">
    <cfRule type="colorScale" priority="213">
      <colorScale>
        <cfvo type="formula" val="0"/>
        <cfvo type="formula" val="1"/>
        <cfvo type="formula" val="2"/>
        <color rgb="FFFFFFFF"/>
        <color rgb="FFFFFF00"/>
        <color rgb="FF00B050"/>
      </colorScale>
    </cfRule>
  </conditionalFormatting>
  <conditionalFormatting sqref="J107:T107">
    <cfRule type="colorScale" priority="214">
      <colorScale>
        <cfvo type="min"/>
        <cfvo type="formula" val="1"/>
        <color theme="0"/>
        <color rgb="FF92D050"/>
      </colorScale>
    </cfRule>
  </conditionalFormatting>
  <conditionalFormatting sqref="J110:T110">
    <cfRule type="colorScale" priority="215">
      <colorScale>
        <cfvo type="min"/>
        <cfvo type="formula" val="1"/>
        <color theme="0"/>
        <color rgb="FF92D050"/>
      </colorScale>
    </cfRule>
  </conditionalFormatting>
  <conditionalFormatting sqref="J110:T110">
    <cfRule type="colorScale" priority="216">
      <colorScale>
        <cfvo type="formula" val="0"/>
        <cfvo type="formula" val="1"/>
        <cfvo type="formula" val="2"/>
        <color rgb="FFFFFFFF"/>
        <color rgb="FFFFFF00"/>
        <color rgb="FF00B050"/>
      </colorScale>
    </cfRule>
  </conditionalFormatting>
  <conditionalFormatting sqref="J113:T113">
    <cfRule type="colorScale" priority="217">
      <colorScale>
        <cfvo type="min"/>
        <cfvo type="formula" val="1"/>
        <color theme="0"/>
        <color rgb="FF92D050"/>
      </colorScale>
    </cfRule>
  </conditionalFormatting>
  <conditionalFormatting sqref="J113:T113">
    <cfRule type="colorScale" priority="218">
      <colorScale>
        <cfvo type="formula" val="0"/>
        <cfvo type="formula" val="1"/>
        <cfvo type="formula" val="2"/>
        <color rgb="FFFFFFFF"/>
        <color rgb="FFFFFF00"/>
        <color rgb="FF00B050"/>
      </colorScale>
    </cfRule>
  </conditionalFormatting>
  <conditionalFormatting sqref="J116:T116">
    <cfRule type="colorScale" priority="219">
      <colorScale>
        <cfvo type="min"/>
        <cfvo type="formula" val="1"/>
        <color theme="0"/>
        <color rgb="FF92D050"/>
      </colorScale>
    </cfRule>
  </conditionalFormatting>
  <conditionalFormatting sqref="J116:T116">
    <cfRule type="colorScale" priority="220">
      <colorScale>
        <cfvo type="formula" val="0"/>
        <cfvo type="formula" val="1"/>
        <cfvo type="formula" val="2"/>
        <color rgb="FFFFFFFF"/>
        <color rgb="FFFFFF00"/>
        <color rgb="FF00B050"/>
      </colorScale>
    </cfRule>
  </conditionalFormatting>
  <conditionalFormatting sqref="J119:T119">
    <cfRule type="colorScale" priority="221">
      <colorScale>
        <cfvo type="min"/>
        <cfvo type="formula" val="1"/>
        <color theme="0"/>
        <color rgb="FF92D050"/>
      </colorScale>
    </cfRule>
  </conditionalFormatting>
  <conditionalFormatting sqref="J119:T119">
    <cfRule type="colorScale" priority="222">
      <colorScale>
        <cfvo type="formula" val="0"/>
        <cfvo type="formula" val="1"/>
        <cfvo type="formula" val="2"/>
        <color rgb="FFFFFFFF"/>
        <color rgb="FFFFFF00"/>
        <color rgb="FF00B050"/>
      </colorScale>
    </cfRule>
  </conditionalFormatting>
  <conditionalFormatting sqref="X16">
    <cfRule type="colorScale" priority="223">
      <colorScale>
        <cfvo type="min"/>
        <cfvo type="formula" val="1"/>
        <color theme="0"/>
        <color rgb="FF92D050"/>
      </colorScale>
    </cfRule>
  </conditionalFormatting>
  <conditionalFormatting sqref="X16">
    <cfRule type="colorScale" priority="224">
      <colorScale>
        <cfvo type="formula" val="0"/>
        <cfvo type="formula" val="1"/>
        <cfvo type="formula" val="2"/>
        <color rgb="FFFFFFFF"/>
        <color rgb="FFFFFF00"/>
        <color rgb="FF00B050"/>
      </colorScale>
    </cfRule>
  </conditionalFormatting>
  <conditionalFormatting sqref="Z16">
    <cfRule type="colorScale" priority="225">
      <colorScale>
        <cfvo type="min"/>
        <cfvo type="formula" val="1"/>
        <color theme="0"/>
        <color rgb="FF92D050"/>
      </colorScale>
    </cfRule>
  </conditionalFormatting>
  <conditionalFormatting sqref="Z16">
    <cfRule type="colorScale" priority="226">
      <colorScale>
        <cfvo type="formula" val="0"/>
        <cfvo type="formula" val="1"/>
        <cfvo type="formula" val="2"/>
        <color rgb="FFFFFFFF"/>
        <color rgb="FFFFFF00"/>
        <color rgb="FF00B050"/>
      </colorScale>
    </cfRule>
  </conditionalFormatting>
  <conditionalFormatting sqref="AB16">
    <cfRule type="colorScale" priority="227">
      <colorScale>
        <cfvo type="min"/>
        <cfvo type="formula" val="1"/>
        <color theme="0"/>
        <color rgb="FF92D050"/>
      </colorScale>
    </cfRule>
  </conditionalFormatting>
  <conditionalFormatting sqref="AB16">
    <cfRule type="colorScale" priority="228">
      <colorScale>
        <cfvo type="formula" val="0"/>
        <cfvo type="formula" val="1"/>
        <cfvo type="formula" val="2"/>
        <color rgb="FFFFFFFF"/>
        <color rgb="FFFFFF00"/>
        <color rgb="FF00B050"/>
      </colorScale>
    </cfRule>
  </conditionalFormatting>
  <conditionalFormatting sqref="AD16">
    <cfRule type="colorScale" priority="229">
      <colorScale>
        <cfvo type="min"/>
        <cfvo type="formula" val="1"/>
        <color theme="0"/>
        <color rgb="FF92D050"/>
      </colorScale>
    </cfRule>
  </conditionalFormatting>
  <conditionalFormatting sqref="AD16">
    <cfRule type="colorScale" priority="230">
      <colorScale>
        <cfvo type="formula" val="0"/>
        <cfvo type="formula" val="1"/>
        <cfvo type="formula" val="2"/>
        <color rgb="FFFFFFFF"/>
        <color rgb="FFFFFF00"/>
        <color rgb="FF00B050"/>
      </colorScale>
    </cfRule>
  </conditionalFormatting>
  <conditionalFormatting sqref="AF16">
    <cfRule type="colorScale" priority="231">
      <colorScale>
        <cfvo type="min"/>
        <cfvo type="formula" val="1"/>
        <color theme="0"/>
        <color rgb="FF92D050"/>
      </colorScale>
    </cfRule>
  </conditionalFormatting>
  <conditionalFormatting sqref="AF16">
    <cfRule type="colorScale" priority="232">
      <colorScale>
        <cfvo type="formula" val="0"/>
        <cfvo type="formula" val="1"/>
        <cfvo type="formula" val="2"/>
        <color rgb="FFFFFFFF"/>
        <color rgb="FFFFFF00"/>
        <color rgb="FF00B050"/>
      </colorScale>
    </cfRule>
  </conditionalFormatting>
  <conditionalFormatting sqref="AH16">
    <cfRule type="colorScale" priority="233">
      <colorScale>
        <cfvo type="min"/>
        <cfvo type="formula" val="1"/>
        <color theme="0"/>
        <color rgb="FF92D050"/>
      </colorScale>
    </cfRule>
  </conditionalFormatting>
  <conditionalFormatting sqref="AH16">
    <cfRule type="colorScale" priority="234">
      <colorScale>
        <cfvo type="formula" val="0"/>
        <cfvo type="formula" val="1"/>
        <cfvo type="formula" val="2"/>
        <color rgb="FFFFFFFF"/>
        <color rgb="FFFFFF00"/>
        <color rgb="FF00B050"/>
      </colorScale>
    </cfRule>
  </conditionalFormatting>
  <conditionalFormatting sqref="AJ16">
    <cfRule type="colorScale" priority="235">
      <colorScale>
        <cfvo type="min"/>
        <cfvo type="formula" val="1"/>
        <color theme="0"/>
        <color rgb="FF92D050"/>
      </colorScale>
    </cfRule>
  </conditionalFormatting>
  <conditionalFormatting sqref="AJ16">
    <cfRule type="colorScale" priority="236">
      <colorScale>
        <cfvo type="formula" val="0"/>
        <cfvo type="formula" val="1"/>
        <cfvo type="formula" val="2"/>
        <color rgb="FFFFFFFF"/>
        <color rgb="FFFFFF00"/>
        <color rgb="FF00B050"/>
      </colorScale>
    </cfRule>
  </conditionalFormatting>
  <conditionalFormatting sqref="AL16">
    <cfRule type="colorScale" priority="237">
      <colorScale>
        <cfvo type="min"/>
        <cfvo type="formula" val="1"/>
        <color theme="0"/>
        <color rgb="FF92D050"/>
      </colorScale>
    </cfRule>
  </conditionalFormatting>
  <conditionalFormatting sqref="AL16">
    <cfRule type="colorScale" priority="238">
      <colorScale>
        <cfvo type="formula" val="0"/>
        <cfvo type="formula" val="1"/>
        <cfvo type="formula" val="2"/>
        <color rgb="FFFFFFFF"/>
        <color rgb="FFFFFF00"/>
        <color rgb="FF00B050"/>
      </colorScale>
    </cfRule>
  </conditionalFormatting>
  <conditionalFormatting sqref="AN16">
    <cfRule type="colorScale" priority="239">
      <colorScale>
        <cfvo type="min"/>
        <cfvo type="formula" val="1"/>
        <color theme="0"/>
        <color rgb="FF92D050"/>
      </colorScale>
    </cfRule>
  </conditionalFormatting>
  <conditionalFormatting sqref="AN16">
    <cfRule type="colorScale" priority="240">
      <colorScale>
        <cfvo type="formula" val="0"/>
        <cfvo type="formula" val="1"/>
        <cfvo type="formula" val="2"/>
        <color rgb="FFFFFFFF"/>
        <color rgb="FFFFFF00"/>
        <color rgb="FF00B050"/>
      </colorScale>
    </cfRule>
  </conditionalFormatting>
  <conditionalFormatting sqref="AN22">
    <cfRule type="colorScale" priority="241">
      <colorScale>
        <cfvo type="min"/>
        <cfvo type="formula" val="1"/>
        <color theme="0"/>
        <color rgb="FF92D050"/>
      </colorScale>
    </cfRule>
  </conditionalFormatting>
  <conditionalFormatting sqref="AN22">
    <cfRule type="colorScale" priority="242">
      <colorScale>
        <cfvo type="formula" val="0"/>
        <cfvo type="formula" val="1"/>
        <cfvo type="formula" val="2"/>
        <color rgb="FFFFFFFF"/>
        <color rgb="FFFFFF00"/>
        <color rgb="FF00B050"/>
      </colorScale>
    </cfRule>
  </conditionalFormatting>
  <conditionalFormatting sqref="AL22">
    <cfRule type="colorScale" priority="243">
      <colorScale>
        <cfvo type="min"/>
        <cfvo type="formula" val="1"/>
        <color theme="0"/>
        <color rgb="FF92D050"/>
      </colorScale>
    </cfRule>
  </conditionalFormatting>
  <conditionalFormatting sqref="AL22">
    <cfRule type="colorScale" priority="244">
      <colorScale>
        <cfvo type="formula" val="0"/>
        <cfvo type="formula" val="1"/>
        <cfvo type="formula" val="2"/>
        <color rgb="FFFFFFFF"/>
        <color rgb="FFFFFF00"/>
        <color rgb="FF00B050"/>
      </colorScale>
    </cfRule>
  </conditionalFormatting>
  <conditionalFormatting sqref="AJ22">
    <cfRule type="colorScale" priority="245">
      <colorScale>
        <cfvo type="min"/>
        <cfvo type="formula" val="1"/>
        <color theme="0"/>
        <color rgb="FF92D050"/>
      </colorScale>
    </cfRule>
  </conditionalFormatting>
  <conditionalFormatting sqref="AJ22">
    <cfRule type="colorScale" priority="246">
      <colorScale>
        <cfvo type="formula" val="0"/>
        <cfvo type="formula" val="1"/>
        <cfvo type="formula" val="2"/>
        <color rgb="FFFFFFFF"/>
        <color rgb="FFFFFF00"/>
        <color rgb="FF00B050"/>
      </colorScale>
    </cfRule>
  </conditionalFormatting>
  <conditionalFormatting sqref="AH22">
    <cfRule type="colorScale" priority="247">
      <colorScale>
        <cfvo type="min"/>
        <cfvo type="formula" val="1"/>
        <color theme="0"/>
        <color rgb="FF92D050"/>
      </colorScale>
    </cfRule>
  </conditionalFormatting>
  <conditionalFormatting sqref="AH22">
    <cfRule type="colorScale" priority="248">
      <colorScale>
        <cfvo type="formula" val="0"/>
        <cfvo type="formula" val="1"/>
        <cfvo type="formula" val="2"/>
        <color rgb="FFFFFFFF"/>
        <color rgb="FFFFFF00"/>
        <color rgb="FF00B050"/>
      </colorScale>
    </cfRule>
  </conditionalFormatting>
  <conditionalFormatting sqref="AF22">
    <cfRule type="colorScale" priority="249">
      <colorScale>
        <cfvo type="min"/>
        <cfvo type="formula" val="1"/>
        <color theme="0"/>
        <color rgb="FF92D050"/>
      </colorScale>
    </cfRule>
  </conditionalFormatting>
  <conditionalFormatting sqref="AF22">
    <cfRule type="colorScale" priority="250">
      <colorScale>
        <cfvo type="formula" val="0"/>
        <cfvo type="formula" val="1"/>
        <cfvo type="formula" val="2"/>
        <color rgb="FFFFFFFF"/>
        <color rgb="FFFFFF00"/>
        <color rgb="FF00B050"/>
      </colorScale>
    </cfRule>
  </conditionalFormatting>
  <conditionalFormatting sqref="AD22">
    <cfRule type="colorScale" priority="251">
      <colorScale>
        <cfvo type="min"/>
        <cfvo type="formula" val="1"/>
        <color theme="0"/>
        <color rgb="FF92D050"/>
      </colorScale>
    </cfRule>
  </conditionalFormatting>
  <conditionalFormatting sqref="AD22">
    <cfRule type="colorScale" priority="252">
      <colorScale>
        <cfvo type="formula" val="0"/>
        <cfvo type="formula" val="1"/>
        <cfvo type="formula" val="2"/>
        <color rgb="FFFFFFFF"/>
        <color rgb="FFFFFF00"/>
        <color rgb="FF00B050"/>
      </colorScale>
    </cfRule>
  </conditionalFormatting>
  <conditionalFormatting sqref="AB22">
    <cfRule type="colorScale" priority="253">
      <colorScale>
        <cfvo type="min"/>
        <cfvo type="formula" val="1"/>
        <color theme="0"/>
        <color rgb="FF92D050"/>
      </colorScale>
    </cfRule>
  </conditionalFormatting>
  <conditionalFormatting sqref="AB22">
    <cfRule type="colorScale" priority="254">
      <colorScale>
        <cfvo type="formula" val="0"/>
        <cfvo type="formula" val="1"/>
        <cfvo type="formula" val="2"/>
        <color rgb="FFFFFFFF"/>
        <color rgb="FFFFFF00"/>
        <color rgb="FF00B050"/>
      </colorScale>
    </cfRule>
  </conditionalFormatting>
  <conditionalFormatting sqref="Z22">
    <cfRule type="colorScale" priority="255">
      <colorScale>
        <cfvo type="min"/>
        <cfvo type="formula" val="1"/>
        <color theme="0"/>
        <color rgb="FF92D050"/>
      </colorScale>
    </cfRule>
  </conditionalFormatting>
  <conditionalFormatting sqref="Z22">
    <cfRule type="colorScale" priority="256">
      <colorScale>
        <cfvo type="formula" val="0"/>
        <cfvo type="formula" val="1"/>
        <cfvo type="formula" val="2"/>
        <color rgb="FFFFFFFF"/>
        <color rgb="FFFFFF00"/>
        <color rgb="FF00B050"/>
      </colorScale>
    </cfRule>
  </conditionalFormatting>
  <conditionalFormatting sqref="X22">
    <cfRule type="colorScale" priority="257">
      <colorScale>
        <cfvo type="min"/>
        <cfvo type="formula" val="1"/>
        <color theme="0"/>
        <color rgb="FF92D050"/>
      </colorScale>
    </cfRule>
  </conditionalFormatting>
  <conditionalFormatting sqref="X22">
    <cfRule type="colorScale" priority="258">
      <colorScale>
        <cfvo type="formula" val="0"/>
        <cfvo type="formula" val="1"/>
        <cfvo type="formula" val="2"/>
        <color rgb="FFFFFFFF"/>
        <color rgb="FFFFFF00"/>
        <color rgb="FF00B050"/>
      </colorScale>
    </cfRule>
  </conditionalFormatting>
  <conditionalFormatting sqref="V22">
    <cfRule type="colorScale" priority="259">
      <colorScale>
        <cfvo type="min"/>
        <cfvo type="formula" val="1"/>
        <color theme="0"/>
        <color rgb="FF92D050"/>
      </colorScale>
    </cfRule>
  </conditionalFormatting>
  <conditionalFormatting sqref="V22">
    <cfRule type="colorScale" priority="260">
      <colorScale>
        <cfvo type="formula" val="0"/>
        <cfvo type="formula" val="1"/>
        <cfvo type="formula" val="2"/>
        <color rgb="FFFFFFFF"/>
        <color rgb="FFFFFF00"/>
        <color rgb="FF00B050"/>
      </colorScale>
    </cfRule>
  </conditionalFormatting>
  <conditionalFormatting sqref="V28">
    <cfRule type="colorScale" priority="261">
      <colorScale>
        <cfvo type="min"/>
        <cfvo type="formula" val="1"/>
        <color theme="0"/>
        <color rgb="FF92D050"/>
      </colorScale>
    </cfRule>
  </conditionalFormatting>
  <conditionalFormatting sqref="V28">
    <cfRule type="colorScale" priority="262">
      <colorScale>
        <cfvo type="formula" val="0"/>
        <cfvo type="formula" val="1"/>
        <cfvo type="formula" val="2"/>
        <color rgb="FFFFFFFF"/>
        <color rgb="FFFFFF00"/>
        <color rgb="FF00B050"/>
      </colorScale>
    </cfRule>
  </conditionalFormatting>
  <conditionalFormatting sqref="X28">
    <cfRule type="colorScale" priority="263">
      <colorScale>
        <cfvo type="min"/>
        <cfvo type="formula" val="1"/>
        <color theme="0"/>
        <color rgb="FF92D050"/>
      </colorScale>
    </cfRule>
  </conditionalFormatting>
  <conditionalFormatting sqref="X28">
    <cfRule type="colorScale" priority="264">
      <colorScale>
        <cfvo type="formula" val="0"/>
        <cfvo type="formula" val="1"/>
        <cfvo type="formula" val="2"/>
        <color rgb="FFFFFFFF"/>
        <color rgb="FFFFFF00"/>
        <color rgb="FF00B050"/>
      </colorScale>
    </cfRule>
  </conditionalFormatting>
  <conditionalFormatting sqref="Z28">
    <cfRule type="colorScale" priority="265">
      <colorScale>
        <cfvo type="min"/>
        <cfvo type="formula" val="1"/>
        <color theme="0"/>
        <color rgb="FF92D050"/>
      </colorScale>
    </cfRule>
  </conditionalFormatting>
  <conditionalFormatting sqref="Z28">
    <cfRule type="colorScale" priority="266">
      <colorScale>
        <cfvo type="formula" val="0"/>
        <cfvo type="formula" val="1"/>
        <cfvo type="formula" val="2"/>
        <color rgb="FFFFFFFF"/>
        <color rgb="FFFFFF00"/>
        <color rgb="FF00B050"/>
      </colorScale>
    </cfRule>
  </conditionalFormatting>
  <conditionalFormatting sqref="AB28">
    <cfRule type="colorScale" priority="267">
      <colorScale>
        <cfvo type="min"/>
        <cfvo type="formula" val="1"/>
        <color theme="0"/>
        <color rgb="FF92D050"/>
      </colorScale>
    </cfRule>
  </conditionalFormatting>
  <conditionalFormatting sqref="AB28">
    <cfRule type="colorScale" priority="268">
      <colorScale>
        <cfvo type="formula" val="0"/>
        <cfvo type="formula" val="1"/>
        <cfvo type="formula" val="2"/>
        <color rgb="FFFFFFFF"/>
        <color rgb="FFFFFF00"/>
        <color rgb="FF00B050"/>
      </colorScale>
    </cfRule>
  </conditionalFormatting>
  <conditionalFormatting sqref="AD28">
    <cfRule type="colorScale" priority="269">
      <colorScale>
        <cfvo type="min"/>
        <cfvo type="formula" val="1"/>
        <color theme="0"/>
        <color rgb="FF92D050"/>
      </colorScale>
    </cfRule>
  </conditionalFormatting>
  <conditionalFormatting sqref="AD28">
    <cfRule type="colorScale" priority="270">
      <colorScale>
        <cfvo type="formula" val="0"/>
        <cfvo type="formula" val="1"/>
        <cfvo type="formula" val="2"/>
        <color rgb="FFFFFFFF"/>
        <color rgb="FFFFFF00"/>
        <color rgb="FF00B050"/>
      </colorScale>
    </cfRule>
  </conditionalFormatting>
  <conditionalFormatting sqref="AF28">
    <cfRule type="colorScale" priority="271">
      <colorScale>
        <cfvo type="min"/>
        <cfvo type="formula" val="1"/>
        <color theme="0"/>
        <color rgb="FF92D050"/>
      </colorScale>
    </cfRule>
  </conditionalFormatting>
  <conditionalFormatting sqref="AF28">
    <cfRule type="colorScale" priority="272">
      <colorScale>
        <cfvo type="formula" val="0"/>
        <cfvo type="formula" val="1"/>
        <cfvo type="formula" val="2"/>
        <color rgb="FFFFFFFF"/>
        <color rgb="FFFFFF00"/>
        <color rgb="FF00B050"/>
      </colorScale>
    </cfRule>
  </conditionalFormatting>
  <conditionalFormatting sqref="AH28">
    <cfRule type="colorScale" priority="273">
      <colorScale>
        <cfvo type="min"/>
        <cfvo type="formula" val="1"/>
        <color theme="0"/>
        <color rgb="FF92D050"/>
      </colorScale>
    </cfRule>
  </conditionalFormatting>
  <conditionalFormatting sqref="AH28">
    <cfRule type="colorScale" priority="274">
      <colorScale>
        <cfvo type="formula" val="0"/>
        <cfvo type="formula" val="1"/>
        <cfvo type="formula" val="2"/>
        <color rgb="FFFFFFFF"/>
        <color rgb="FFFFFF00"/>
        <color rgb="FF00B050"/>
      </colorScale>
    </cfRule>
  </conditionalFormatting>
  <conditionalFormatting sqref="AJ28">
    <cfRule type="colorScale" priority="275">
      <colorScale>
        <cfvo type="min"/>
        <cfvo type="formula" val="1"/>
        <color theme="0"/>
        <color rgb="FF92D050"/>
      </colorScale>
    </cfRule>
  </conditionalFormatting>
  <conditionalFormatting sqref="AJ28">
    <cfRule type="colorScale" priority="276">
      <colorScale>
        <cfvo type="formula" val="0"/>
        <cfvo type="formula" val="1"/>
        <cfvo type="formula" val="2"/>
        <color rgb="FFFFFFFF"/>
        <color rgb="FFFFFF00"/>
        <color rgb="FF00B050"/>
      </colorScale>
    </cfRule>
  </conditionalFormatting>
  <conditionalFormatting sqref="AL28">
    <cfRule type="colorScale" priority="277">
      <colorScale>
        <cfvo type="min"/>
        <cfvo type="formula" val="1"/>
        <color theme="0"/>
        <color rgb="FF92D050"/>
      </colorScale>
    </cfRule>
  </conditionalFormatting>
  <conditionalFormatting sqref="AL28">
    <cfRule type="colorScale" priority="278">
      <colorScale>
        <cfvo type="formula" val="0"/>
        <cfvo type="formula" val="1"/>
        <cfvo type="formula" val="2"/>
        <color rgb="FFFFFFFF"/>
        <color rgb="FFFFFF00"/>
        <color rgb="FF00B050"/>
      </colorScale>
    </cfRule>
  </conditionalFormatting>
  <conditionalFormatting sqref="AN28">
    <cfRule type="colorScale" priority="279">
      <colorScale>
        <cfvo type="min"/>
        <cfvo type="formula" val="1"/>
        <color theme="0"/>
        <color rgb="FF92D050"/>
      </colorScale>
    </cfRule>
  </conditionalFormatting>
  <conditionalFormatting sqref="AN28">
    <cfRule type="colorScale" priority="280">
      <colorScale>
        <cfvo type="formula" val="0"/>
        <cfvo type="formula" val="1"/>
        <cfvo type="formula" val="2"/>
        <color rgb="FFFFFFFF"/>
        <color rgb="FFFFFF00"/>
        <color rgb="FF00B050"/>
      </colorScale>
    </cfRule>
  </conditionalFormatting>
  <conditionalFormatting sqref="V34">
    <cfRule type="colorScale" priority="281">
      <colorScale>
        <cfvo type="min"/>
        <cfvo type="formula" val="1"/>
        <color theme="0"/>
        <color rgb="FF92D050"/>
      </colorScale>
    </cfRule>
  </conditionalFormatting>
  <conditionalFormatting sqref="V34">
    <cfRule type="colorScale" priority="282">
      <colorScale>
        <cfvo type="formula" val="0"/>
        <cfvo type="formula" val="1"/>
        <cfvo type="formula" val="2"/>
        <color rgb="FFFFFFFF"/>
        <color rgb="FFFFFF00"/>
        <color rgb="FF00B050"/>
      </colorScale>
    </cfRule>
  </conditionalFormatting>
  <conditionalFormatting sqref="X34">
    <cfRule type="colorScale" priority="283">
      <colorScale>
        <cfvo type="min"/>
        <cfvo type="formula" val="1"/>
        <color theme="0"/>
        <color rgb="FF92D050"/>
      </colorScale>
    </cfRule>
  </conditionalFormatting>
  <conditionalFormatting sqref="X34">
    <cfRule type="colorScale" priority="284">
      <colorScale>
        <cfvo type="formula" val="0"/>
        <cfvo type="formula" val="1"/>
        <cfvo type="formula" val="2"/>
        <color rgb="FFFFFFFF"/>
        <color rgb="FFFFFF00"/>
        <color rgb="FF00B050"/>
      </colorScale>
    </cfRule>
  </conditionalFormatting>
  <conditionalFormatting sqref="AA34">
    <cfRule type="colorScale" priority="285">
      <colorScale>
        <cfvo type="min"/>
        <cfvo type="formula" val="1"/>
        <color theme="0"/>
        <color rgb="FF92D050"/>
      </colorScale>
    </cfRule>
  </conditionalFormatting>
  <conditionalFormatting sqref="AA34">
    <cfRule type="colorScale" priority="286">
      <colorScale>
        <cfvo type="formula" val="0"/>
        <cfvo type="formula" val="1"/>
        <cfvo type="formula" val="2"/>
        <color rgb="FFFFFFFF"/>
        <color rgb="FFFFFF00"/>
        <color rgb="FF00B050"/>
      </colorScale>
    </cfRule>
  </conditionalFormatting>
  <conditionalFormatting sqref="AC34">
    <cfRule type="colorScale" priority="287">
      <colorScale>
        <cfvo type="min"/>
        <cfvo type="formula" val="1"/>
        <color theme="0"/>
        <color rgb="FF92D050"/>
      </colorScale>
    </cfRule>
  </conditionalFormatting>
  <conditionalFormatting sqref="AC34">
    <cfRule type="colorScale" priority="288">
      <colorScale>
        <cfvo type="formula" val="0"/>
        <cfvo type="formula" val="1"/>
        <cfvo type="formula" val="2"/>
        <color rgb="FFFFFFFF"/>
        <color rgb="FFFFFF00"/>
        <color rgb="FF00B050"/>
      </colorScale>
    </cfRule>
  </conditionalFormatting>
  <conditionalFormatting sqref="AE34">
    <cfRule type="colorScale" priority="289">
      <colorScale>
        <cfvo type="min"/>
        <cfvo type="formula" val="1"/>
        <color theme="0"/>
        <color rgb="FF92D050"/>
      </colorScale>
    </cfRule>
  </conditionalFormatting>
  <conditionalFormatting sqref="AE34">
    <cfRule type="colorScale" priority="290">
      <colorScale>
        <cfvo type="formula" val="0"/>
        <cfvo type="formula" val="1"/>
        <cfvo type="formula" val="2"/>
        <color rgb="FFFFFFFF"/>
        <color rgb="FFFFFF00"/>
        <color rgb="FF00B050"/>
      </colorScale>
    </cfRule>
  </conditionalFormatting>
  <conditionalFormatting sqref="Z34">
    <cfRule type="colorScale" priority="291">
      <colorScale>
        <cfvo type="min"/>
        <cfvo type="formula" val="1"/>
        <color theme="0"/>
        <color rgb="FF92D050"/>
      </colorScale>
    </cfRule>
  </conditionalFormatting>
  <conditionalFormatting sqref="Z34">
    <cfRule type="colorScale" priority="292">
      <colorScale>
        <cfvo type="formula" val="0"/>
        <cfvo type="formula" val="1"/>
        <cfvo type="formula" val="2"/>
        <color rgb="FFFFFFFF"/>
        <color rgb="FFFFFF00"/>
        <color rgb="FF00B050"/>
      </colorScale>
    </cfRule>
  </conditionalFormatting>
  <conditionalFormatting sqref="AB34">
    <cfRule type="colorScale" priority="293">
      <colorScale>
        <cfvo type="min"/>
        <cfvo type="formula" val="1"/>
        <color theme="0"/>
        <color rgb="FF92D050"/>
      </colorScale>
    </cfRule>
  </conditionalFormatting>
  <conditionalFormatting sqref="AB34">
    <cfRule type="colorScale" priority="294">
      <colorScale>
        <cfvo type="formula" val="0"/>
        <cfvo type="formula" val="1"/>
        <cfvo type="formula" val="2"/>
        <color rgb="FFFFFFFF"/>
        <color rgb="FFFFFF00"/>
        <color rgb="FF00B050"/>
      </colorScale>
    </cfRule>
  </conditionalFormatting>
  <conditionalFormatting sqref="AD34">
    <cfRule type="colorScale" priority="295">
      <colorScale>
        <cfvo type="min"/>
        <cfvo type="formula" val="1"/>
        <color theme="0"/>
        <color rgb="FF92D050"/>
      </colorScale>
    </cfRule>
  </conditionalFormatting>
  <conditionalFormatting sqref="AD34">
    <cfRule type="colorScale" priority="296">
      <colorScale>
        <cfvo type="formula" val="0"/>
        <cfvo type="formula" val="1"/>
        <cfvo type="formula" val="2"/>
        <color rgb="FFFFFFFF"/>
        <color rgb="FFFFFF00"/>
        <color rgb="FF00B050"/>
      </colorScale>
    </cfRule>
  </conditionalFormatting>
  <conditionalFormatting sqref="AF34">
    <cfRule type="colorScale" priority="297">
      <colorScale>
        <cfvo type="min"/>
        <cfvo type="formula" val="1"/>
        <color theme="0"/>
        <color rgb="FF92D050"/>
      </colorScale>
    </cfRule>
  </conditionalFormatting>
  <conditionalFormatting sqref="AF34">
    <cfRule type="colorScale" priority="298">
      <colorScale>
        <cfvo type="formula" val="0"/>
        <cfvo type="formula" val="1"/>
        <cfvo type="formula" val="2"/>
        <color rgb="FFFFFFFF"/>
        <color rgb="FFFFFF00"/>
        <color rgb="FF00B050"/>
      </colorScale>
    </cfRule>
  </conditionalFormatting>
  <conditionalFormatting sqref="AH34">
    <cfRule type="colorScale" priority="299">
      <colorScale>
        <cfvo type="min"/>
        <cfvo type="formula" val="1"/>
        <color theme="0"/>
        <color rgb="FF92D050"/>
      </colorScale>
    </cfRule>
  </conditionalFormatting>
  <conditionalFormatting sqref="AH34">
    <cfRule type="colorScale" priority="300">
      <colorScale>
        <cfvo type="formula" val="0"/>
        <cfvo type="formula" val="1"/>
        <cfvo type="formula" val="2"/>
        <color rgb="FFFFFFFF"/>
        <color rgb="FFFFFF00"/>
        <color rgb="FF00B050"/>
      </colorScale>
    </cfRule>
  </conditionalFormatting>
  <conditionalFormatting sqref="AJ34">
    <cfRule type="colorScale" priority="301">
      <colorScale>
        <cfvo type="min"/>
        <cfvo type="formula" val="1"/>
        <color theme="0"/>
        <color rgb="FF92D050"/>
      </colorScale>
    </cfRule>
  </conditionalFormatting>
  <conditionalFormatting sqref="AJ34">
    <cfRule type="colorScale" priority="302">
      <colorScale>
        <cfvo type="formula" val="0"/>
        <cfvo type="formula" val="1"/>
        <cfvo type="formula" val="2"/>
        <color rgb="FFFFFFFF"/>
        <color rgb="FFFFFF00"/>
        <color rgb="FF00B050"/>
      </colorScale>
    </cfRule>
  </conditionalFormatting>
  <conditionalFormatting sqref="AL34">
    <cfRule type="colorScale" priority="303">
      <colorScale>
        <cfvo type="min"/>
        <cfvo type="formula" val="1"/>
        <color theme="0"/>
        <color rgb="FF92D050"/>
      </colorScale>
    </cfRule>
  </conditionalFormatting>
  <conditionalFormatting sqref="AL34">
    <cfRule type="colorScale" priority="304">
      <colorScale>
        <cfvo type="formula" val="0"/>
        <cfvo type="formula" val="1"/>
        <cfvo type="formula" val="2"/>
        <color rgb="FFFFFFFF"/>
        <color rgb="FFFFFF00"/>
        <color rgb="FF00B050"/>
      </colorScale>
    </cfRule>
  </conditionalFormatting>
  <conditionalFormatting sqref="W41 Y41 AA41 AC41 AE41 AG41 AI41">
    <cfRule type="colorScale" priority="305">
      <colorScale>
        <cfvo type="min"/>
        <cfvo type="formula" val="1"/>
        <color theme="0"/>
        <color rgb="FF92D050"/>
      </colorScale>
    </cfRule>
  </conditionalFormatting>
  <conditionalFormatting sqref="W41 Y41 AA41 AC41 AE41 AG41 AI41">
    <cfRule type="colorScale" priority="306">
      <colorScale>
        <cfvo type="formula" val="0"/>
        <cfvo type="formula" val="1"/>
        <cfvo type="formula" val="2"/>
        <color rgb="FFFFFFFF"/>
        <color rgb="FFFFFF00"/>
        <color rgb="FF00B050"/>
      </colorScale>
    </cfRule>
  </conditionalFormatting>
  <conditionalFormatting sqref="AK41">
    <cfRule type="colorScale" priority="307">
      <colorScale>
        <cfvo type="min"/>
        <cfvo type="formula" val="1"/>
        <color theme="0"/>
        <color rgb="FF92D050"/>
      </colorScale>
    </cfRule>
  </conditionalFormatting>
  <conditionalFormatting sqref="AK41">
    <cfRule type="colorScale" priority="308">
      <colorScale>
        <cfvo type="formula" val="0"/>
        <cfvo type="formula" val="1"/>
        <cfvo type="formula" val="2"/>
        <color rgb="FFFFFFFF"/>
        <color rgb="FFFFFF00"/>
        <color rgb="FF00B050"/>
      </colorScale>
    </cfRule>
  </conditionalFormatting>
  <conditionalFormatting sqref="V41">
    <cfRule type="colorScale" priority="309">
      <colorScale>
        <cfvo type="min"/>
        <cfvo type="formula" val="1"/>
        <color theme="0"/>
        <color rgb="FF92D050"/>
      </colorScale>
    </cfRule>
  </conditionalFormatting>
  <conditionalFormatting sqref="V41">
    <cfRule type="colorScale" priority="310">
      <colorScale>
        <cfvo type="formula" val="0"/>
        <cfvo type="formula" val="1"/>
        <cfvo type="formula" val="2"/>
        <color rgb="FFFFFFFF"/>
        <color rgb="FFFFFF00"/>
        <color rgb="FF00B050"/>
      </colorScale>
    </cfRule>
  </conditionalFormatting>
  <conditionalFormatting sqref="X41:AL41">
    <cfRule type="colorScale" priority="311">
      <colorScale>
        <cfvo type="formula" val="0"/>
        <cfvo type="formula" val="1"/>
        <cfvo type="formula" val="2"/>
        <color rgb="FFFFFFFF"/>
        <color rgb="FFFFFF00"/>
        <color rgb="FF00B050"/>
      </colorScale>
    </cfRule>
  </conditionalFormatting>
  <conditionalFormatting sqref="X41">
    <cfRule type="colorScale" priority="312">
      <colorScale>
        <cfvo type="min"/>
        <cfvo type="formula" val="1"/>
        <color theme="0"/>
        <color rgb="FF92D050"/>
      </colorScale>
    </cfRule>
  </conditionalFormatting>
  <conditionalFormatting sqref="Z41">
    <cfRule type="colorScale" priority="313">
      <colorScale>
        <cfvo type="min"/>
        <cfvo type="formula" val="1"/>
        <color theme="0"/>
        <color rgb="FF92D050"/>
      </colorScale>
    </cfRule>
  </conditionalFormatting>
  <conditionalFormatting sqref="Z41">
    <cfRule type="colorScale" priority="314">
      <colorScale>
        <cfvo type="formula" val="0"/>
        <cfvo type="formula" val="1"/>
        <cfvo type="formula" val="2"/>
        <color rgb="FFFFFFFF"/>
        <color rgb="FFFFFF00"/>
        <color rgb="FF00B050"/>
      </colorScale>
    </cfRule>
  </conditionalFormatting>
  <conditionalFormatting sqref="AB41">
    <cfRule type="colorScale" priority="315">
      <colorScale>
        <cfvo type="min"/>
        <cfvo type="formula" val="1"/>
        <color theme="0"/>
        <color rgb="FF92D050"/>
      </colorScale>
    </cfRule>
  </conditionalFormatting>
  <conditionalFormatting sqref="AB41">
    <cfRule type="colorScale" priority="316">
      <colorScale>
        <cfvo type="formula" val="0"/>
        <cfvo type="formula" val="1"/>
        <cfvo type="formula" val="2"/>
        <color rgb="FFFFFFFF"/>
        <color rgb="FFFFFF00"/>
        <color rgb="FF00B050"/>
      </colorScale>
    </cfRule>
  </conditionalFormatting>
  <conditionalFormatting sqref="AD41">
    <cfRule type="colorScale" priority="317">
      <colorScale>
        <cfvo type="formula" val="0"/>
        <cfvo type="formula" val="1"/>
        <cfvo type="formula" val="2"/>
        <color rgb="FFFFFFFF"/>
        <color rgb="FFFFFF00"/>
        <color rgb="FF00B050"/>
      </colorScale>
    </cfRule>
  </conditionalFormatting>
  <conditionalFormatting sqref="AD41">
    <cfRule type="colorScale" priority="318">
      <colorScale>
        <cfvo type="min"/>
        <cfvo type="formula" val="1"/>
        <color theme="0"/>
        <color rgb="FF92D050"/>
      </colorScale>
    </cfRule>
  </conditionalFormatting>
  <conditionalFormatting sqref="AF41">
    <cfRule type="colorScale" priority="319">
      <colorScale>
        <cfvo type="formula" val="0"/>
        <cfvo type="formula" val="1"/>
        <cfvo type="formula" val="2"/>
        <color rgb="FFFFFFFF"/>
        <color rgb="FFFFFF00"/>
        <color rgb="FF00B050"/>
      </colorScale>
    </cfRule>
  </conditionalFormatting>
  <conditionalFormatting sqref="AF41">
    <cfRule type="colorScale" priority="320">
      <colorScale>
        <cfvo type="min"/>
        <cfvo type="formula" val="1"/>
        <color theme="0"/>
        <color rgb="FF92D050"/>
      </colorScale>
    </cfRule>
  </conditionalFormatting>
  <conditionalFormatting sqref="AH41">
    <cfRule type="colorScale" priority="321">
      <colorScale>
        <cfvo type="formula" val="0"/>
        <cfvo type="formula" val="1"/>
        <cfvo type="formula" val="2"/>
        <color rgb="FFFFFFFF"/>
        <color rgb="FFFFFF00"/>
        <color rgb="FF00B050"/>
      </colorScale>
    </cfRule>
  </conditionalFormatting>
  <conditionalFormatting sqref="AH41">
    <cfRule type="colorScale" priority="322">
      <colorScale>
        <cfvo type="min"/>
        <cfvo type="formula" val="1"/>
        <color theme="0"/>
        <color rgb="FF92D050"/>
      </colorScale>
    </cfRule>
  </conditionalFormatting>
  <conditionalFormatting sqref="AJ41">
    <cfRule type="colorScale" priority="323">
      <colorScale>
        <cfvo type="formula" val="0"/>
        <cfvo type="formula" val="1"/>
        <cfvo type="formula" val="2"/>
        <color rgb="FFFFFFFF"/>
        <color rgb="FFFFFF00"/>
        <color rgb="FF00B050"/>
      </colorScale>
    </cfRule>
  </conditionalFormatting>
  <conditionalFormatting sqref="AJ41">
    <cfRule type="colorScale" priority="324">
      <colorScale>
        <cfvo type="min"/>
        <cfvo type="formula" val="1"/>
        <color theme="0"/>
        <color rgb="FF92D050"/>
      </colorScale>
    </cfRule>
  </conditionalFormatting>
  <conditionalFormatting sqref="AL41">
    <cfRule type="colorScale" priority="325">
      <colorScale>
        <cfvo type="min"/>
        <cfvo type="formula" val="1"/>
        <color theme="0"/>
        <color rgb="FF92D050"/>
      </colorScale>
    </cfRule>
  </conditionalFormatting>
  <conditionalFormatting sqref="AL41">
    <cfRule type="colorScale" priority="326">
      <colorScale>
        <cfvo type="formula" val="0"/>
        <cfvo type="formula" val="1"/>
        <cfvo type="formula" val="2"/>
        <color rgb="FFFFFFFF"/>
        <color rgb="FFFFFF00"/>
        <color rgb="FF00B050"/>
      </colorScale>
    </cfRule>
  </conditionalFormatting>
  <conditionalFormatting sqref="W47 Y47 AA47 AC47 AE47 AG47 AI47">
    <cfRule type="colorScale" priority="327">
      <colorScale>
        <cfvo type="min"/>
        <cfvo type="formula" val="1"/>
        <color theme="0"/>
        <color rgb="FF92D050"/>
      </colorScale>
    </cfRule>
  </conditionalFormatting>
  <conditionalFormatting sqref="W47 Y47 AA47 AC47 AE47 AG47 AI47">
    <cfRule type="colorScale" priority="328">
      <colorScale>
        <cfvo type="formula" val="0"/>
        <cfvo type="formula" val="1"/>
        <cfvo type="formula" val="2"/>
        <color rgb="FFFFFFFF"/>
        <color rgb="FFFFFF00"/>
        <color rgb="FF00B050"/>
      </colorScale>
    </cfRule>
  </conditionalFormatting>
  <conditionalFormatting sqref="AK47">
    <cfRule type="colorScale" priority="329">
      <colorScale>
        <cfvo type="min"/>
        <cfvo type="formula" val="1"/>
        <color theme="0"/>
        <color rgb="FF92D050"/>
      </colorScale>
    </cfRule>
  </conditionalFormatting>
  <conditionalFormatting sqref="AK47">
    <cfRule type="colorScale" priority="330">
      <colorScale>
        <cfvo type="formula" val="0"/>
        <cfvo type="formula" val="1"/>
        <cfvo type="formula" val="2"/>
        <color rgb="FFFFFFFF"/>
        <color rgb="FFFFFF00"/>
        <color rgb="FF00B050"/>
      </colorScale>
    </cfRule>
  </conditionalFormatting>
  <conditionalFormatting sqref="V47">
    <cfRule type="colorScale" priority="331">
      <colorScale>
        <cfvo type="min"/>
        <cfvo type="formula" val="1"/>
        <color theme="0"/>
        <color rgb="FF92D050"/>
      </colorScale>
    </cfRule>
  </conditionalFormatting>
  <conditionalFormatting sqref="V47">
    <cfRule type="colorScale" priority="332">
      <colorScale>
        <cfvo type="formula" val="0"/>
        <cfvo type="formula" val="1"/>
        <cfvo type="formula" val="2"/>
        <color rgb="FFFFFFFF"/>
        <color rgb="FFFFFF00"/>
        <color rgb="FF00B050"/>
      </colorScale>
    </cfRule>
  </conditionalFormatting>
  <conditionalFormatting sqref="X47:AL47">
    <cfRule type="colorScale" priority="333">
      <colorScale>
        <cfvo type="formula" val="0"/>
        <cfvo type="formula" val="1"/>
        <cfvo type="formula" val="2"/>
        <color rgb="FFFFFFFF"/>
        <color rgb="FFFFFF00"/>
        <color rgb="FF00B050"/>
      </colorScale>
    </cfRule>
  </conditionalFormatting>
  <conditionalFormatting sqref="X47">
    <cfRule type="colorScale" priority="334">
      <colorScale>
        <cfvo type="min"/>
        <cfvo type="formula" val="1"/>
        <color theme="0"/>
        <color rgb="FF92D050"/>
      </colorScale>
    </cfRule>
  </conditionalFormatting>
  <conditionalFormatting sqref="Z47">
    <cfRule type="colorScale" priority="335">
      <colorScale>
        <cfvo type="min"/>
        <cfvo type="formula" val="1"/>
        <color theme="0"/>
        <color rgb="FF92D050"/>
      </colorScale>
    </cfRule>
  </conditionalFormatting>
  <conditionalFormatting sqref="Z47">
    <cfRule type="colorScale" priority="336">
      <colorScale>
        <cfvo type="formula" val="0"/>
        <cfvo type="formula" val="1"/>
        <cfvo type="formula" val="2"/>
        <color rgb="FFFFFFFF"/>
        <color rgb="FFFFFF00"/>
        <color rgb="FF00B050"/>
      </colorScale>
    </cfRule>
  </conditionalFormatting>
  <conditionalFormatting sqref="AB47">
    <cfRule type="colorScale" priority="337">
      <colorScale>
        <cfvo type="min"/>
        <cfvo type="formula" val="1"/>
        <color theme="0"/>
        <color rgb="FF92D050"/>
      </colorScale>
    </cfRule>
  </conditionalFormatting>
  <conditionalFormatting sqref="AB47">
    <cfRule type="colorScale" priority="338">
      <colorScale>
        <cfvo type="formula" val="0"/>
        <cfvo type="formula" val="1"/>
        <cfvo type="formula" val="2"/>
        <color rgb="FFFFFFFF"/>
        <color rgb="FFFFFF00"/>
        <color rgb="FF00B050"/>
      </colorScale>
    </cfRule>
  </conditionalFormatting>
  <conditionalFormatting sqref="AD47">
    <cfRule type="colorScale" priority="339">
      <colorScale>
        <cfvo type="min"/>
        <cfvo type="formula" val="1"/>
        <color theme="0"/>
        <color rgb="FF92D050"/>
      </colorScale>
    </cfRule>
  </conditionalFormatting>
  <conditionalFormatting sqref="AD47">
    <cfRule type="colorScale" priority="340">
      <colorScale>
        <cfvo type="formula" val="0"/>
        <cfvo type="formula" val="1"/>
        <cfvo type="formula" val="2"/>
        <color rgb="FFFFFFFF"/>
        <color rgb="FFFFFF00"/>
        <color rgb="FF00B050"/>
      </colorScale>
    </cfRule>
  </conditionalFormatting>
  <conditionalFormatting sqref="AF47">
    <cfRule type="colorScale" priority="341">
      <colorScale>
        <cfvo type="min"/>
        <cfvo type="formula" val="1"/>
        <color theme="0"/>
        <color rgb="FF92D050"/>
      </colorScale>
    </cfRule>
  </conditionalFormatting>
  <conditionalFormatting sqref="AF47">
    <cfRule type="colorScale" priority="342">
      <colorScale>
        <cfvo type="formula" val="0"/>
        <cfvo type="formula" val="1"/>
        <cfvo type="formula" val="2"/>
        <color rgb="FFFFFFFF"/>
        <color rgb="FFFFFF00"/>
        <color rgb="FF00B050"/>
      </colorScale>
    </cfRule>
  </conditionalFormatting>
  <conditionalFormatting sqref="AH47">
    <cfRule type="colorScale" priority="343">
      <colorScale>
        <cfvo type="min"/>
        <cfvo type="formula" val="1"/>
        <color theme="0"/>
        <color rgb="FF92D050"/>
      </colorScale>
    </cfRule>
  </conditionalFormatting>
  <conditionalFormatting sqref="AH47">
    <cfRule type="colorScale" priority="344">
      <colorScale>
        <cfvo type="formula" val="0"/>
        <cfvo type="formula" val="1"/>
        <cfvo type="formula" val="2"/>
        <color rgb="FFFFFFFF"/>
        <color rgb="FFFFFF00"/>
        <color rgb="FF00B050"/>
      </colorScale>
    </cfRule>
  </conditionalFormatting>
  <conditionalFormatting sqref="AJ47">
    <cfRule type="colorScale" priority="345">
      <colorScale>
        <cfvo type="min"/>
        <cfvo type="formula" val="1"/>
        <color theme="0"/>
        <color rgb="FF92D050"/>
      </colorScale>
    </cfRule>
  </conditionalFormatting>
  <conditionalFormatting sqref="AJ47">
    <cfRule type="colorScale" priority="346">
      <colorScale>
        <cfvo type="formula" val="0"/>
        <cfvo type="formula" val="1"/>
        <cfvo type="formula" val="2"/>
        <color rgb="FFFFFFFF"/>
        <color rgb="FFFFFF00"/>
        <color rgb="FF00B050"/>
      </colorScale>
    </cfRule>
  </conditionalFormatting>
  <conditionalFormatting sqref="AL47">
    <cfRule type="colorScale" priority="347">
      <colorScale>
        <cfvo type="min"/>
        <cfvo type="formula" val="1"/>
        <color theme="0"/>
        <color rgb="FF92D050"/>
      </colorScale>
    </cfRule>
  </conditionalFormatting>
  <conditionalFormatting sqref="AL47">
    <cfRule type="colorScale" priority="348">
      <colorScale>
        <cfvo type="formula" val="0"/>
        <cfvo type="formula" val="1"/>
        <cfvo type="formula" val="2"/>
        <color rgb="FFFFFFFF"/>
        <color rgb="FFFFFF00"/>
        <color rgb="FF00B050"/>
      </colorScale>
    </cfRule>
  </conditionalFormatting>
  <conditionalFormatting sqref="W53 Y53 AA53 AC53 AE53 AG53 AI53">
    <cfRule type="colorScale" priority="349">
      <colorScale>
        <cfvo type="min"/>
        <cfvo type="formula" val="1"/>
        <color theme="0"/>
        <color rgb="FF92D050"/>
      </colorScale>
    </cfRule>
  </conditionalFormatting>
  <conditionalFormatting sqref="W53 Y53 AA53 AC53 AE53 AG53 AI53">
    <cfRule type="colorScale" priority="350">
      <colorScale>
        <cfvo type="formula" val="0"/>
        <cfvo type="formula" val="1"/>
        <cfvo type="formula" val="2"/>
        <color rgb="FFFFFFFF"/>
        <color rgb="FFFFFF00"/>
        <color rgb="FF00B050"/>
      </colorScale>
    </cfRule>
  </conditionalFormatting>
  <conditionalFormatting sqref="AK53">
    <cfRule type="colorScale" priority="351">
      <colorScale>
        <cfvo type="min"/>
        <cfvo type="formula" val="1"/>
        <color theme="0"/>
        <color rgb="FF92D050"/>
      </colorScale>
    </cfRule>
  </conditionalFormatting>
  <conditionalFormatting sqref="AK53">
    <cfRule type="colorScale" priority="352">
      <colorScale>
        <cfvo type="formula" val="0"/>
        <cfvo type="formula" val="1"/>
        <cfvo type="formula" val="2"/>
        <color rgb="FFFFFFFF"/>
        <color rgb="FFFFFF00"/>
        <color rgb="FF00B050"/>
      </colorScale>
    </cfRule>
  </conditionalFormatting>
  <conditionalFormatting sqref="V53">
    <cfRule type="colorScale" priority="353">
      <colorScale>
        <cfvo type="min"/>
        <cfvo type="formula" val="1"/>
        <color theme="0"/>
        <color rgb="FF92D050"/>
      </colorScale>
    </cfRule>
  </conditionalFormatting>
  <conditionalFormatting sqref="V53">
    <cfRule type="colorScale" priority="354">
      <colorScale>
        <cfvo type="formula" val="0"/>
        <cfvo type="formula" val="1"/>
        <cfvo type="formula" val="2"/>
        <color rgb="FFFFFFFF"/>
        <color rgb="FFFFFF00"/>
        <color rgb="FF00B050"/>
      </colorScale>
    </cfRule>
  </conditionalFormatting>
  <conditionalFormatting sqref="X53:AL53">
    <cfRule type="colorScale" priority="355">
      <colorScale>
        <cfvo type="formula" val="0"/>
        <cfvo type="formula" val="1"/>
        <cfvo type="formula" val="2"/>
        <color rgb="FFFFFFFF"/>
        <color rgb="FFFFFF00"/>
        <color rgb="FF00B050"/>
      </colorScale>
    </cfRule>
  </conditionalFormatting>
  <conditionalFormatting sqref="X53">
    <cfRule type="colorScale" priority="356">
      <colorScale>
        <cfvo type="min"/>
        <cfvo type="formula" val="1"/>
        <color theme="0"/>
        <color rgb="FF92D050"/>
      </colorScale>
    </cfRule>
  </conditionalFormatting>
  <conditionalFormatting sqref="Z53">
    <cfRule type="colorScale" priority="357">
      <colorScale>
        <cfvo type="formula" val="0"/>
        <cfvo type="formula" val="1"/>
        <cfvo type="formula" val="2"/>
        <color rgb="FFFFFFFF"/>
        <color rgb="FFFFFF00"/>
        <color rgb="FF00B050"/>
      </colorScale>
    </cfRule>
  </conditionalFormatting>
  <conditionalFormatting sqref="Z53">
    <cfRule type="colorScale" priority="358">
      <colorScale>
        <cfvo type="min"/>
        <cfvo type="formula" val="1"/>
        <color theme="0"/>
        <color rgb="FF92D050"/>
      </colorScale>
    </cfRule>
  </conditionalFormatting>
  <conditionalFormatting sqref="AB53">
    <cfRule type="colorScale" priority="359">
      <colorScale>
        <cfvo type="formula" val="0"/>
        <cfvo type="formula" val="1"/>
        <cfvo type="formula" val="2"/>
        <color rgb="FFFFFFFF"/>
        <color rgb="FFFFFF00"/>
        <color rgb="FF00B050"/>
      </colorScale>
    </cfRule>
  </conditionalFormatting>
  <conditionalFormatting sqref="AB53">
    <cfRule type="colorScale" priority="360">
      <colorScale>
        <cfvo type="min"/>
        <cfvo type="formula" val="1"/>
        <color theme="0"/>
        <color rgb="FF92D050"/>
      </colorScale>
    </cfRule>
  </conditionalFormatting>
  <conditionalFormatting sqref="AD53">
    <cfRule type="colorScale" priority="361">
      <colorScale>
        <cfvo type="formula" val="0"/>
        <cfvo type="formula" val="1"/>
        <cfvo type="formula" val="2"/>
        <color rgb="FFFFFFFF"/>
        <color rgb="FFFFFF00"/>
        <color rgb="FF00B050"/>
      </colorScale>
    </cfRule>
  </conditionalFormatting>
  <conditionalFormatting sqref="AD53">
    <cfRule type="colorScale" priority="362">
      <colorScale>
        <cfvo type="min"/>
        <cfvo type="formula" val="1"/>
        <color theme="0"/>
        <color rgb="FF92D050"/>
      </colorScale>
    </cfRule>
  </conditionalFormatting>
  <conditionalFormatting sqref="AF53">
    <cfRule type="colorScale" priority="363">
      <colorScale>
        <cfvo type="formula" val="0"/>
        <cfvo type="formula" val="1"/>
        <cfvo type="formula" val="2"/>
        <color rgb="FFFFFFFF"/>
        <color rgb="FFFFFF00"/>
        <color rgb="FF00B050"/>
      </colorScale>
    </cfRule>
  </conditionalFormatting>
  <conditionalFormatting sqref="AF53">
    <cfRule type="colorScale" priority="364">
      <colorScale>
        <cfvo type="min"/>
        <cfvo type="formula" val="1"/>
        <color theme="0"/>
        <color rgb="FF92D050"/>
      </colorScale>
    </cfRule>
  </conditionalFormatting>
  <conditionalFormatting sqref="AH53">
    <cfRule type="colorScale" priority="365">
      <colorScale>
        <cfvo type="formula" val="0"/>
        <cfvo type="formula" val="1"/>
        <cfvo type="formula" val="2"/>
        <color rgb="FFFFFFFF"/>
        <color rgb="FFFFFF00"/>
        <color rgb="FF00B050"/>
      </colorScale>
    </cfRule>
  </conditionalFormatting>
  <conditionalFormatting sqref="AH53">
    <cfRule type="colorScale" priority="366">
      <colorScale>
        <cfvo type="min"/>
        <cfvo type="formula" val="1"/>
        <color theme="0"/>
        <color rgb="FF92D050"/>
      </colorScale>
    </cfRule>
  </conditionalFormatting>
  <conditionalFormatting sqref="AJ53">
    <cfRule type="colorScale" priority="367">
      <colorScale>
        <cfvo type="formula" val="0"/>
        <cfvo type="formula" val="1"/>
        <cfvo type="formula" val="2"/>
        <color rgb="FFFFFFFF"/>
        <color rgb="FFFFFF00"/>
        <color rgb="FF00B050"/>
      </colorScale>
    </cfRule>
  </conditionalFormatting>
  <conditionalFormatting sqref="AJ53">
    <cfRule type="colorScale" priority="368">
      <colorScale>
        <cfvo type="min"/>
        <cfvo type="formula" val="1"/>
        <color theme="0"/>
        <color rgb="FF92D050"/>
      </colorScale>
    </cfRule>
  </conditionalFormatting>
  <conditionalFormatting sqref="AL53">
    <cfRule type="colorScale" priority="369">
      <colorScale>
        <cfvo type="min"/>
        <cfvo type="formula" val="1"/>
        <color theme="0"/>
        <color rgb="FF92D050"/>
      </colorScale>
    </cfRule>
  </conditionalFormatting>
  <conditionalFormatting sqref="AL53">
    <cfRule type="colorScale" priority="370">
      <colorScale>
        <cfvo type="formula" val="0"/>
        <cfvo type="formula" val="1"/>
        <cfvo type="formula" val="2"/>
        <color rgb="FFFFFFFF"/>
        <color rgb="FFFFFF00"/>
        <color rgb="FF00B050"/>
      </colorScale>
    </cfRule>
  </conditionalFormatting>
  <conditionalFormatting sqref="W59 Y59 AA59 AC59 AE59 AG59 AI59">
    <cfRule type="colorScale" priority="371">
      <colorScale>
        <cfvo type="min"/>
        <cfvo type="formula" val="1"/>
        <color theme="0"/>
        <color rgb="FF92D050"/>
      </colorScale>
    </cfRule>
  </conditionalFormatting>
  <conditionalFormatting sqref="W59 Y59 AA59 AC59 AE59 AG59 AI59">
    <cfRule type="colorScale" priority="372">
      <colorScale>
        <cfvo type="formula" val="0"/>
        <cfvo type="formula" val="1"/>
        <cfvo type="formula" val="2"/>
        <color rgb="FFFFFFFF"/>
        <color rgb="FFFFFF00"/>
        <color rgb="FF00B050"/>
      </colorScale>
    </cfRule>
  </conditionalFormatting>
  <conditionalFormatting sqref="AK59">
    <cfRule type="colorScale" priority="373">
      <colorScale>
        <cfvo type="min"/>
        <cfvo type="formula" val="1"/>
        <color theme="0"/>
        <color rgb="FF92D050"/>
      </colorScale>
    </cfRule>
  </conditionalFormatting>
  <conditionalFormatting sqref="AK59">
    <cfRule type="colorScale" priority="374">
      <colorScale>
        <cfvo type="formula" val="0"/>
        <cfvo type="formula" val="1"/>
        <cfvo type="formula" val="2"/>
        <color rgb="FFFFFFFF"/>
        <color rgb="FFFFFF00"/>
        <color rgb="FF00B050"/>
      </colorScale>
    </cfRule>
  </conditionalFormatting>
  <conditionalFormatting sqref="V59">
    <cfRule type="colorScale" priority="375">
      <colorScale>
        <cfvo type="min"/>
        <cfvo type="formula" val="1"/>
        <color theme="0"/>
        <color rgb="FF92D050"/>
      </colorScale>
    </cfRule>
  </conditionalFormatting>
  <conditionalFormatting sqref="V59">
    <cfRule type="colorScale" priority="376">
      <colorScale>
        <cfvo type="formula" val="0"/>
        <cfvo type="formula" val="1"/>
        <cfvo type="formula" val="2"/>
        <color rgb="FFFFFFFF"/>
        <color rgb="FFFFFF00"/>
        <color rgb="FF00B050"/>
      </colorScale>
    </cfRule>
  </conditionalFormatting>
  <conditionalFormatting sqref="X59">
    <cfRule type="colorScale" priority="377">
      <colorScale>
        <cfvo type="min"/>
        <cfvo type="formula" val="1"/>
        <color theme="0"/>
        <color rgb="FF92D050"/>
      </colorScale>
    </cfRule>
  </conditionalFormatting>
  <conditionalFormatting sqref="X59">
    <cfRule type="colorScale" priority="378">
      <colorScale>
        <cfvo type="formula" val="0"/>
        <cfvo type="formula" val="1"/>
        <cfvo type="formula" val="2"/>
        <color rgb="FFFFFFFF"/>
        <color rgb="FFFFFF00"/>
        <color rgb="FF00B050"/>
      </colorScale>
    </cfRule>
  </conditionalFormatting>
  <conditionalFormatting sqref="Z59">
    <cfRule type="colorScale" priority="379">
      <colorScale>
        <cfvo type="min"/>
        <cfvo type="formula" val="1"/>
        <color theme="0"/>
        <color rgb="FF92D050"/>
      </colorScale>
    </cfRule>
  </conditionalFormatting>
  <conditionalFormatting sqref="Z59">
    <cfRule type="colorScale" priority="380">
      <colorScale>
        <cfvo type="formula" val="0"/>
        <cfvo type="formula" val="1"/>
        <cfvo type="formula" val="2"/>
        <color rgb="FFFFFFFF"/>
        <color rgb="FFFFFF00"/>
        <color rgb="FF00B050"/>
      </colorScale>
    </cfRule>
  </conditionalFormatting>
  <conditionalFormatting sqref="AB59">
    <cfRule type="colorScale" priority="381">
      <colorScale>
        <cfvo type="min"/>
        <cfvo type="formula" val="1"/>
        <color theme="0"/>
        <color rgb="FF92D050"/>
      </colorScale>
    </cfRule>
  </conditionalFormatting>
  <conditionalFormatting sqref="AB59">
    <cfRule type="colorScale" priority="382">
      <colorScale>
        <cfvo type="formula" val="0"/>
        <cfvo type="formula" val="1"/>
        <cfvo type="formula" val="2"/>
        <color rgb="FFFFFFFF"/>
        <color rgb="FFFFFF00"/>
        <color rgb="FF00B050"/>
      </colorScale>
    </cfRule>
  </conditionalFormatting>
  <conditionalFormatting sqref="AD59">
    <cfRule type="colorScale" priority="383">
      <colorScale>
        <cfvo type="min"/>
        <cfvo type="formula" val="1"/>
        <color theme="0"/>
        <color rgb="FF92D050"/>
      </colorScale>
    </cfRule>
  </conditionalFormatting>
  <conditionalFormatting sqref="AD59">
    <cfRule type="colorScale" priority="384">
      <colorScale>
        <cfvo type="formula" val="0"/>
        <cfvo type="formula" val="1"/>
        <cfvo type="formula" val="2"/>
        <color rgb="FFFFFFFF"/>
        <color rgb="FFFFFF00"/>
        <color rgb="FF00B050"/>
      </colorScale>
    </cfRule>
  </conditionalFormatting>
  <conditionalFormatting sqref="AF59">
    <cfRule type="colorScale" priority="385">
      <colorScale>
        <cfvo type="min"/>
        <cfvo type="formula" val="1"/>
        <color theme="0"/>
        <color rgb="FF92D050"/>
      </colorScale>
    </cfRule>
  </conditionalFormatting>
  <conditionalFormatting sqref="AF59">
    <cfRule type="colorScale" priority="386">
      <colorScale>
        <cfvo type="formula" val="0"/>
        <cfvo type="formula" val="1"/>
        <cfvo type="formula" val="2"/>
        <color rgb="FFFFFFFF"/>
        <color rgb="FFFFFF00"/>
        <color rgb="FF00B050"/>
      </colorScale>
    </cfRule>
  </conditionalFormatting>
  <conditionalFormatting sqref="AH59">
    <cfRule type="colorScale" priority="387">
      <colorScale>
        <cfvo type="min"/>
        <cfvo type="formula" val="1"/>
        <color theme="0"/>
        <color rgb="FF92D050"/>
      </colorScale>
    </cfRule>
  </conditionalFormatting>
  <conditionalFormatting sqref="AH59">
    <cfRule type="colorScale" priority="388">
      <colorScale>
        <cfvo type="formula" val="0"/>
        <cfvo type="formula" val="1"/>
        <cfvo type="formula" val="2"/>
        <color rgb="FFFFFFFF"/>
        <color rgb="FFFFFF00"/>
        <color rgb="FF00B050"/>
      </colorScale>
    </cfRule>
  </conditionalFormatting>
  <conditionalFormatting sqref="AJ59">
    <cfRule type="colorScale" priority="389">
      <colorScale>
        <cfvo type="min"/>
        <cfvo type="formula" val="1"/>
        <color theme="0"/>
        <color rgb="FF92D050"/>
      </colorScale>
    </cfRule>
  </conditionalFormatting>
  <conditionalFormatting sqref="AJ59">
    <cfRule type="colorScale" priority="390">
      <colorScale>
        <cfvo type="formula" val="0"/>
        <cfvo type="formula" val="1"/>
        <cfvo type="formula" val="2"/>
        <color rgb="FFFFFFFF"/>
        <color rgb="FFFFFF00"/>
        <color rgb="FF00B050"/>
      </colorScale>
    </cfRule>
  </conditionalFormatting>
  <conditionalFormatting sqref="AL59">
    <cfRule type="colorScale" priority="391">
      <colorScale>
        <cfvo type="min"/>
        <cfvo type="formula" val="1"/>
        <color theme="0"/>
        <color rgb="FF92D050"/>
      </colorScale>
    </cfRule>
  </conditionalFormatting>
  <conditionalFormatting sqref="AL59">
    <cfRule type="colorScale" priority="392">
      <colorScale>
        <cfvo type="formula" val="0"/>
        <cfvo type="formula" val="1"/>
        <cfvo type="formula" val="2"/>
        <color rgb="FFFFFFFF"/>
        <color rgb="FFFFFF00"/>
        <color rgb="FF00B050"/>
      </colorScale>
    </cfRule>
  </conditionalFormatting>
  <conditionalFormatting sqref="W65 Y65 AA65 AC65 AE65 AG65 AI65">
    <cfRule type="colorScale" priority="393">
      <colorScale>
        <cfvo type="min"/>
        <cfvo type="formula" val="1"/>
        <color theme="0"/>
        <color rgb="FF92D050"/>
      </colorScale>
    </cfRule>
  </conditionalFormatting>
  <conditionalFormatting sqref="W65 Y65 AA65 AC65 AE65 AG65 AI65">
    <cfRule type="colorScale" priority="394">
      <colorScale>
        <cfvo type="formula" val="0"/>
        <cfvo type="formula" val="1"/>
        <cfvo type="formula" val="2"/>
        <color rgb="FFFFFFFF"/>
        <color rgb="FFFFFF00"/>
        <color rgb="FF00B050"/>
      </colorScale>
    </cfRule>
  </conditionalFormatting>
  <conditionalFormatting sqref="AK65">
    <cfRule type="colorScale" priority="395">
      <colorScale>
        <cfvo type="min"/>
        <cfvo type="formula" val="1"/>
        <color theme="0"/>
        <color rgb="FF92D050"/>
      </colorScale>
    </cfRule>
  </conditionalFormatting>
  <conditionalFormatting sqref="AK65">
    <cfRule type="colorScale" priority="396">
      <colorScale>
        <cfvo type="formula" val="0"/>
        <cfvo type="formula" val="1"/>
        <cfvo type="formula" val="2"/>
        <color rgb="FFFFFFFF"/>
        <color rgb="FFFFFF00"/>
        <color rgb="FF00B050"/>
      </colorScale>
    </cfRule>
  </conditionalFormatting>
  <conditionalFormatting sqref="V65">
    <cfRule type="colorScale" priority="397">
      <colorScale>
        <cfvo type="min"/>
        <cfvo type="formula" val="1"/>
        <color theme="0"/>
        <color rgb="FF92D050"/>
      </colorScale>
    </cfRule>
  </conditionalFormatting>
  <conditionalFormatting sqref="V65">
    <cfRule type="colorScale" priority="398">
      <colorScale>
        <cfvo type="formula" val="0"/>
        <cfvo type="formula" val="1"/>
        <cfvo type="formula" val="2"/>
        <color rgb="FFFFFFFF"/>
        <color rgb="FFFFFF00"/>
        <color rgb="FF00B050"/>
      </colorScale>
    </cfRule>
  </conditionalFormatting>
  <conditionalFormatting sqref="X65:AL65">
    <cfRule type="colorScale" priority="399">
      <colorScale>
        <cfvo type="formula" val="0"/>
        <cfvo type="formula" val="1"/>
        <cfvo type="formula" val="2"/>
        <color rgb="FFFFFFFF"/>
        <color rgb="FFFFFF00"/>
        <color rgb="FF00B050"/>
      </colorScale>
    </cfRule>
  </conditionalFormatting>
  <conditionalFormatting sqref="X65">
    <cfRule type="colorScale" priority="400">
      <colorScale>
        <cfvo type="min"/>
        <cfvo type="formula" val="1"/>
        <color theme="0"/>
        <color rgb="FF92D050"/>
      </colorScale>
    </cfRule>
  </conditionalFormatting>
  <conditionalFormatting sqref="Z65">
    <cfRule type="colorScale" priority="401">
      <colorScale>
        <cfvo type="min"/>
        <cfvo type="formula" val="1"/>
        <color theme="0"/>
        <color rgb="FF92D050"/>
      </colorScale>
    </cfRule>
  </conditionalFormatting>
  <conditionalFormatting sqref="Z65">
    <cfRule type="colorScale" priority="402">
      <colorScale>
        <cfvo type="formula" val="0"/>
        <cfvo type="formula" val="1"/>
        <cfvo type="formula" val="2"/>
        <color rgb="FFFFFFFF"/>
        <color rgb="FFFFFF00"/>
        <color rgb="FF00B050"/>
      </colorScale>
    </cfRule>
  </conditionalFormatting>
  <conditionalFormatting sqref="AB65">
    <cfRule type="colorScale" priority="403">
      <colorScale>
        <cfvo type="min"/>
        <cfvo type="formula" val="1"/>
        <color theme="0"/>
        <color rgb="FF92D050"/>
      </colorScale>
    </cfRule>
  </conditionalFormatting>
  <conditionalFormatting sqref="AB65">
    <cfRule type="colorScale" priority="404">
      <colorScale>
        <cfvo type="formula" val="0"/>
        <cfvo type="formula" val="1"/>
        <cfvo type="formula" val="2"/>
        <color rgb="FFFFFFFF"/>
        <color rgb="FFFFFF00"/>
        <color rgb="FF00B050"/>
      </colorScale>
    </cfRule>
  </conditionalFormatting>
  <conditionalFormatting sqref="AD65">
    <cfRule type="colorScale" priority="405">
      <colorScale>
        <cfvo type="min"/>
        <cfvo type="formula" val="1"/>
        <color theme="0"/>
        <color rgb="FF92D050"/>
      </colorScale>
    </cfRule>
  </conditionalFormatting>
  <conditionalFormatting sqref="AD65">
    <cfRule type="colorScale" priority="406">
      <colorScale>
        <cfvo type="formula" val="0"/>
        <cfvo type="formula" val="1"/>
        <cfvo type="formula" val="2"/>
        <color rgb="FFFFFFFF"/>
        <color rgb="FFFFFF00"/>
        <color rgb="FF00B050"/>
      </colorScale>
    </cfRule>
  </conditionalFormatting>
  <conditionalFormatting sqref="AF65">
    <cfRule type="colorScale" priority="407">
      <colorScale>
        <cfvo type="min"/>
        <cfvo type="formula" val="1"/>
        <color theme="0"/>
        <color rgb="FF92D050"/>
      </colorScale>
    </cfRule>
  </conditionalFormatting>
  <conditionalFormatting sqref="AF65">
    <cfRule type="colorScale" priority="408">
      <colorScale>
        <cfvo type="formula" val="0"/>
        <cfvo type="formula" val="1"/>
        <cfvo type="formula" val="2"/>
        <color rgb="FFFFFFFF"/>
        <color rgb="FFFFFF00"/>
        <color rgb="FF00B050"/>
      </colorScale>
    </cfRule>
  </conditionalFormatting>
  <conditionalFormatting sqref="AH65">
    <cfRule type="colorScale" priority="409">
      <colorScale>
        <cfvo type="min"/>
        <cfvo type="formula" val="1"/>
        <color theme="0"/>
        <color rgb="FF92D050"/>
      </colorScale>
    </cfRule>
  </conditionalFormatting>
  <conditionalFormatting sqref="AH65">
    <cfRule type="colorScale" priority="410">
      <colorScale>
        <cfvo type="formula" val="0"/>
        <cfvo type="formula" val="1"/>
        <cfvo type="formula" val="2"/>
        <color rgb="FFFFFFFF"/>
        <color rgb="FFFFFF00"/>
        <color rgb="FF00B050"/>
      </colorScale>
    </cfRule>
  </conditionalFormatting>
  <conditionalFormatting sqref="AJ65">
    <cfRule type="colorScale" priority="411">
      <colorScale>
        <cfvo type="min"/>
        <cfvo type="formula" val="1"/>
        <color theme="0"/>
        <color rgb="FF92D050"/>
      </colorScale>
    </cfRule>
  </conditionalFormatting>
  <conditionalFormatting sqref="AJ65">
    <cfRule type="colorScale" priority="412">
      <colorScale>
        <cfvo type="formula" val="0"/>
        <cfvo type="formula" val="1"/>
        <cfvo type="formula" val="2"/>
        <color rgb="FFFFFFFF"/>
        <color rgb="FFFFFF00"/>
        <color rgb="FF00B050"/>
      </colorScale>
    </cfRule>
  </conditionalFormatting>
  <conditionalFormatting sqref="AL65">
    <cfRule type="colorScale" priority="413">
      <colorScale>
        <cfvo type="min"/>
        <cfvo type="formula" val="1"/>
        <color theme="0"/>
        <color rgb="FF92D050"/>
      </colorScale>
    </cfRule>
  </conditionalFormatting>
  <conditionalFormatting sqref="AL65">
    <cfRule type="colorScale" priority="414">
      <colorScale>
        <cfvo type="formula" val="0"/>
        <cfvo type="formula" val="1"/>
        <cfvo type="formula" val="2"/>
        <color rgb="FFFFFFFF"/>
        <color rgb="FFFFFF00"/>
        <color rgb="FF00B050"/>
      </colorScale>
    </cfRule>
  </conditionalFormatting>
  <conditionalFormatting sqref="W71 Y71 AA71 AC71 AE71 AG71 AI71">
    <cfRule type="colorScale" priority="415">
      <colorScale>
        <cfvo type="min"/>
        <cfvo type="formula" val="1"/>
        <color theme="0"/>
        <color rgb="FF92D050"/>
      </colorScale>
    </cfRule>
  </conditionalFormatting>
  <conditionalFormatting sqref="W71 Y71 AA71 AC71 AE71 AG71 AI71">
    <cfRule type="colorScale" priority="416">
      <colorScale>
        <cfvo type="formula" val="0"/>
        <cfvo type="formula" val="1"/>
        <cfvo type="formula" val="2"/>
        <color rgb="FFFFFFFF"/>
        <color rgb="FFFFFF00"/>
        <color rgb="FF00B050"/>
      </colorScale>
    </cfRule>
  </conditionalFormatting>
  <conditionalFormatting sqref="AK71">
    <cfRule type="colorScale" priority="417">
      <colorScale>
        <cfvo type="min"/>
        <cfvo type="formula" val="1"/>
        <color theme="0"/>
        <color rgb="FF92D050"/>
      </colorScale>
    </cfRule>
  </conditionalFormatting>
  <conditionalFormatting sqref="AK71">
    <cfRule type="colorScale" priority="418">
      <colorScale>
        <cfvo type="formula" val="0"/>
        <cfvo type="formula" val="1"/>
        <cfvo type="formula" val="2"/>
        <color rgb="FFFFFFFF"/>
        <color rgb="FFFFFF00"/>
        <color rgb="FF00B050"/>
      </colorScale>
    </cfRule>
  </conditionalFormatting>
  <conditionalFormatting sqref="V71">
    <cfRule type="colorScale" priority="419">
      <colorScale>
        <cfvo type="min"/>
        <cfvo type="formula" val="1"/>
        <color theme="0"/>
        <color rgb="FF92D050"/>
      </colorScale>
    </cfRule>
  </conditionalFormatting>
  <conditionalFormatting sqref="V71">
    <cfRule type="colorScale" priority="420">
      <colorScale>
        <cfvo type="formula" val="0"/>
        <cfvo type="formula" val="1"/>
        <cfvo type="formula" val="2"/>
        <color rgb="FFFFFFFF"/>
        <color rgb="FFFFFF00"/>
        <color rgb="FF00B050"/>
      </colorScale>
    </cfRule>
  </conditionalFormatting>
  <conditionalFormatting sqref="X71:AL71">
    <cfRule type="colorScale" priority="421">
      <colorScale>
        <cfvo type="formula" val="0"/>
        <cfvo type="formula" val="1"/>
        <cfvo type="formula" val="2"/>
        <color rgb="FFFFFFFF"/>
        <color rgb="FFFFFF00"/>
        <color rgb="FF00B050"/>
      </colorScale>
    </cfRule>
  </conditionalFormatting>
  <conditionalFormatting sqref="X71">
    <cfRule type="colorScale" priority="422">
      <colorScale>
        <cfvo type="min"/>
        <cfvo type="formula" val="1"/>
        <color theme="0"/>
        <color rgb="FF92D050"/>
      </colorScale>
    </cfRule>
  </conditionalFormatting>
  <conditionalFormatting sqref="Z71">
    <cfRule type="colorScale" priority="423">
      <colorScale>
        <cfvo type="min"/>
        <cfvo type="formula" val="1"/>
        <color theme="0"/>
        <color rgb="FF92D050"/>
      </colorScale>
    </cfRule>
  </conditionalFormatting>
  <conditionalFormatting sqref="Z71">
    <cfRule type="colorScale" priority="424">
      <colorScale>
        <cfvo type="formula" val="0"/>
        <cfvo type="formula" val="1"/>
        <cfvo type="formula" val="2"/>
        <color rgb="FFFFFFFF"/>
        <color rgb="FFFFFF00"/>
        <color rgb="FF00B050"/>
      </colorScale>
    </cfRule>
  </conditionalFormatting>
  <conditionalFormatting sqref="AB71">
    <cfRule type="colorScale" priority="425">
      <colorScale>
        <cfvo type="min"/>
        <cfvo type="formula" val="1"/>
        <color theme="0"/>
        <color rgb="FF92D050"/>
      </colorScale>
    </cfRule>
  </conditionalFormatting>
  <conditionalFormatting sqref="AB71">
    <cfRule type="colorScale" priority="426">
      <colorScale>
        <cfvo type="formula" val="0"/>
        <cfvo type="formula" val="1"/>
        <cfvo type="formula" val="2"/>
        <color rgb="FFFFFFFF"/>
        <color rgb="FFFFFF00"/>
        <color rgb="FF00B050"/>
      </colorScale>
    </cfRule>
  </conditionalFormatting>
  <conditionalFormatting sqref="AD71">
    <cfRule type="colorScale" priority="427">
      <colorScale>
        <cfvo type="min"/>
        <cfvo type="formula" val="1"/>
        <color theme="0"/>
        <color rgb="FF92D050"/>
      </colorScale>
    </cfRule>
  </conditionalFormatting>
  <conditionalFormatting sqref="AD71">
    <cfRule type="colorScale" priority="428">
      <colorScale>
        <cfvo type="formula" val="0"/>
        <cfvo type="formula" val="1"/>
        <cfvo type="formula" val="2"/>
        <color rgb="FFFFFFFF"/>
        <color rgb="FFFFFF00"/>
        <color rgb="FF00B050"/>
      </colorScale>
    </cfRule>
  </conditionalFormatting>
  <conditionalFormatting sqref="AF71">
    <cfRule type="colorScale" priority="429">
      <colorScale>
        <cfvo type="min"/>
        <cfvo type="formula" val="1"/>
        <color theme="0"/>
        <color rgb="FF92D050"/>
      </colorScale>
    </cfRule>
  </conditionalFormatting>
  <conditionalFormatting sqref="AF71">
    <cfRule type="colorScale" priority="430">
      <colorScale>
        <cfvo type="formula" val="0"/>
        <cfvo type="formula" val="1"/>
        <cfvo type="formula" val="2"/>
        <color rgb="FFFFFFFF"/>
        <color rgb="FFFFFF00"/>
        <color rgb="FF00B050"/>
      </colorScale>
    </cfRule>
  </conditionalFormatting>
  <conditionalFormatting sqref="AH71">
    <cfRule type="colorScale" priority="431">
      <colorScale>
        <cfvo type="min"/>
        <cfvo type="formula" val="1"/>
        <color theme="0"/>
        <color rgb="FF92D050"/>
      </colorScale>
    </cfRule>
  </conditionalFormatting>
  <conditionalFormatting sqref="AH71">
    <cfRule type="colorScale" priority="432">
      <colorScale>
        <cfvo type="formula" val="0"/>
        <cfvo type="formula" val="1"/>
        <cfvo type="formula" val="2"/>
        <color rgb="FFFFFFFF"/>
        <color rgb="FFFFFF00"/>
        <color rgb="FF00B050"/>
      </colorScale>
    </cfRule>
  </conditionalFormatting>
  <conditionalFormatting sqref="AJ71">
    <cfRule type="colorScale" priority="433">
      <colorScale>
        <cfvo type="min"/>
        <cfvo type="formula" val="1"/>
        <color theme="0"/>
        <color rgb="FF92D050"/>
      </colorScale>
    </cfRule>
  </conditionalFormatting>
  <conditionalFormatting sqref="AJ71">
    <cfRule type="colorScale" priority="434">
      <colorScale>
        <cfvo type="formula" val="0"/>
        <cfvo type="formula" val="1"/>
        <cfvo type="formula" val="2"/>
        <color rgb="FFFFFFFF"/>
        <color rgb="FFFFFF00"/>
        <color rgb="FF00B050"/>
      </colorScale>
    </cfRule>
  </conditionalFormatting>
  <conditionalFormatting sqref="AL71">
    <cfRule type="colorScale" priority="435">
      <colorScale>
        <cfvo type="min"/>
        <cfvo type="formula" val="1"/>
        <color theme="0"/>
        <color rgb="FF92D050"/>
      </colorScale>
    </cfRule>
  </conditionalFormatting>
  <conditionalFormatting sqref="AL71">
    <cfRule type="colorScale" priority="436">
      <colorScale>
        <cfvo type="formula" val="0"/>
        <cfvo type="formula" val="1"/>
        <cfvo type="formula" val="2"/>
        <color rgb="FFFFFFFF"/>
        <color rgb="FFFFFF00"/>
        <color rgb="FF00B050"/>
      </colorScale>
    </cfRule>
  </conditionalFormatting>
  <conditionalFormatting sqref="W77 Y77 AA77 AC77 AE77 AG77 AI77">
    <cfRule type="colorScale" priority="437">
      <colorScale>
        <cfvo type="min"/>
        <cfvo type="formula" val="1"/>
        <color theme="0"/>
        <color rgb="FF92D050"/>
      </colorScale>
    </cfRule>
  </conditionalFormatting>
  <conditionalFormatting sqref="W77 Y77 AA77 AC77 AE77 AG77 AI77">
    <cfRule type="colorScale" priority="438">
      <colorScale>
        <cfvo type="formula" val="0"/>
        <cfvo type="formula" val="1"/>
        <cfvo type="formula" val="2"/>
        <color rgb="FFFFFFFF"/>
        <color rgb="FFFFFF00"/>
        <color rgb="FF00B050"/>
      </colorScale>
    </cfRule>
  </conditionalFormatting>
  <conditionalFormatting sqref="AK77">
    <cfRule type="colorScale" priority="439">
      <colorScale>
        <cfvo type="min"/>
        <cfvo type="formula" val="1"/>
        <color theme="0"/>
        <color rgb="FF92D050"/>
      </colorScale>
    </cfRule>
  </conditionalFormatting>
  <conditionalFormatting sqref="AK77">
    <cfRule type="colorScale" priority="440">
      <colorScale>
        <cfvo type="formula" val="0"/>
        <cfvo type="formula" val="1"/>
        <cfvo type="formula" val="2"/>
        <color rgb="FFFFFFFF"/>
        <color rgb="FFFFFF00"/>
        <color rgb="FF00B050"/>
      </colorScale>
    </cfRule>
  </conditionalFormatting>
  <conditionalFormatting sqref="V77">
    <cfRule type="colorScale" priority="441">
      <colorScale>
        <cfvo type="min"/>
        <cfvo type="formula" val="1"/>
        <color theme="0"/>
        <color rgb="FF92D050"/>
      </colorScale>
    </cfRule>
  </conditionalFormatting>
  <conditionalFormatting sqref="V77">
    <cfRule type="colorScale" priority="442">
      <colorScale>
        <cfvo type="formula" val="0"/>
        <cfvo type="formula" val="1"/>
        <cfvo type="formula" val="2"/>
        <color rgb="FFFFFFFF"/>
        <color rgb="FFFFFF00"/>
        <color rgb="FF00B050"/>
      </colorScale>
    </cfRule>
  </conditionalFormatting>
  <conditionalFormatting sqref="X77:AL77">
    <cfRule type="colorScale" priority="443">
      <colorScale>
        <cfvo type="formula" val="0"/>
        <cfvo type="formula" val="1"/>
        <cfvo type="formula" val="2"/>
        <color rgb="FFFFFFFF"/>
        <color rgb="FFFFFF00"/>
        <color rgb="FF00B050"/>
      </colorScale>
    </cfRule>
  </conditionalFormatting>
  <conditionalFormatting sqref="X77">
    <cfRule type="colorScale" priority="444">
      <colorScale>
        <cfvo type="min"/>
        <cfvo type="formula" val="1"/>
        <color theme="0"/>
        <color rgb="FF92D050"/>
      </colorScale>
    </cfRule>
  </conditionalFormatting>
  <conditionalFormatting sqref="Z77">
    <cfRule type="colorScale" priority="445">
      <colorScale>
        <cfvo type="min"/>
        <cfvo type="formula" val="1"/>
        <color theme="0"/>
        <color rgb="FF92D050"/>
      </colorScale>
    </cfRule>
  </conditionalFormatting>
  <conditionalFormatting sqref="Z77">
    <cfRule type="colorScale" priority="446">
      <colorScale>
        <cfvo type="formula" val="0"/>
        <cfvo type="formula" val="1"/>
        <cfvo type="formula" val="2"/>
        <color rgb="FFFFFFFF"/>
        <color rgb="FFFFFF00"/>
        <color rgb="FF00B050"/>
      </colorScale>
    </cfRule>
  </conditionalFormatting>
  <conditionalFormatting sqref="AB77">
    <cfRule type="colorScale" priority="447">
      <colorScale>
        <cfvo type="min"/>
        <cfvo type="formula" val="1"/>
        <color theme="0"/>
        <color rgb="FF92D050"/>
      </colorScale>
    </cfRule>
  </conditionalFormatting>
  <conditionalFormatting sqref="AB77">
    <cfRule type="colorScale" priority="448">
      <colorScale>
        <cfvo type="formula" val="0"/>
        <cfvo type="formula" val="1"/>
        <cfvo type="formula" val="2"/>
        <color rgb="FFFFFFFF"/>
        <color rgb="FFFFFF00"/>
        <color rgb="FF00B050"/>
      </colorScale>
    </cfRule>
  </conditionalFormatting>
  <conditionalFormatting sqref="AD77">
    <cfRule type="colorScale" priority="449">
      <colorScale>
        <cfvo type="min"/>
        <cfvo type="formula" val="1"/>
        <color theme="0"/>
        <color rgb="FF92D050"/>
      </colorScale>
    </cfRule>
  </conditionalFormatting>
  <conditionalFormatting sqref="AD77">
    <cfRule type="colorScale" priority="450">
      <colorScale>
        <cfvo type="formula" val="0"/>
        <cfvo type="formula" val="1"/>
        <cfvo type="formula" val="2"/>
        <color rgb="FFFFFFFF"/>
        <color rgb="FFFFFF00"/>
        <color rgb="FF00B050"/>
      </colorScale>
    </cfRule>
  </conditionalFormatting>
  <conditionalFormatting sqref="AF77">
    <cfRule type="colorScale" priority="451">
      <colorScale>
        <cfvo type="min"/>
        <cfvo type="formula" val="1"/>
        <color theme="0"/>
        <color rgb="FF92D050"/>
      </colorScale>
    </cfRule>
  </conditionalFormatting>
  <conditionalFormatting sqref="AF77">
    <cfRule type="colorScale" priority="452">
      <colorScale>
        <cfvo type="formula" val="0"/>
        <cfvo type="formula" val="1"/>
        <cfvo type="formula" val="2"/>
        <color rgb="FFFFFFFF"/>
        <color rgb="FFFFFF00"/>
        <color rgb="FF00B050"/>
      </colorScale>
    </cfRule>
  </conditionalFormatting>
  <conditionalFormatting sqref="AH77">
    <cfRule type="colorScale" priority="453">
      <colorScale>
        <cfvo type="min"/>
        <cfvo type="formula" val="1"/>
        <color theme="0"/>
        <color rgb="FF92D050"/>
      </colorScale>
    </cfRule>
  </conditionalFormatting>
  <conditionalFormatting sqref="AH77">
    <cfRule type="colorScale" priority="454">
      <colorScale>
        <cfvo type="formula" val="0"/>
        <cfvo type="formula" val="1"/>
        <cfvo type="formula" val="2"/>
        <color rgb="FFFFFFFF"/>
        <color rgb="FFFFFF00"/>
        <color rgb="FF00B050"/>
      </colorScale>
    </cfRule>
  </conditionalFormatting>
  <conditionalFormatting sqref="AJ77">
    <cfRule type="colorScale" priority="455">
      <colorScale>
        <cfvo type="min"/>
        <cfvo type="formula" val="1"/>
        <color theme="0"/>
        <color rgb="FF92D050"/>
      </colorScale>
    </cfRule>
  </conditionalFormatting>
  <conditionalFormatting sqref="AJ77">
    <cfRule type="colorScale" priority="456">
      <colorScale>
        <cfvo type="formula" val="0"/>
        <cfvo type="formula" val="1"/>
        <cfvo type="formula" val="2"/>
        <color rgb="FFFFFFFF"/>
        <color rgb="FFFFFF00"/>
        <color rgb="FF00B050"/>
      </colorScale>
    </cfRule>
  </conditionalFormatting>
  <conditionalFormatting sqref="AL77">
    <cfRule type="colorScale" priority="457">
      <colorScale>
        <cfvo type="min"/>
        <cfvo type="formula" val="1"/>
        <color theme="0"/>
        <color rgb="FF92D050"/>
      </colorScale>
    </cfRule>
  </conditionalFormatting>
  <conditionalFormatting sqref="AL77">
    <cfRule type="colorScale" priority="458">
      <colorScale>
        <cfvo type="formula" val="0"/>
        <cfvo type="formula" val="1"/>
        <cfvo type="formula" val="2"/>
        <color rgb="FFFFFFFF"/>
        <color rgb="FFFFFF00"/>
        <color rgb="FF00B050"/>
      </colorScale>
    </cfRule>
  </conditionalFormatting>
  <conditionalFormatting sqref="W83 Y83 AA83 AC83 AE83 AG83 AI83">
    <cfRule type="colorScale" priority="459">
      <colorScale>
        <cfvo type="min"/>
        <cfvo type="formula" val="1"/>
        <color theme="0"/>
        <color rgb="FF92D050"/>
      </colorScale>
    </cfRule>
  </conditionalFormatting>
  <conditionalFormatting sqref="W83 Y83 AA83 AC83 AE83 AG83 AI83">
    <cfRule type="colorScale" priority="460">
      <colorScale>
        <cfvo type="formula" val="0"/>
        <cfvo type="formula" val="1"/>
        <cfvo type="formula" val="2"/>
        <color rgb="FFFFFFFF"/>
        <color rgb="FFFFFF00"/>
        <color rgb="FF00B050"/>
      </colorScale>
    </cfRule>
  </conditionalFormatting>
  <conditionalFormatting sqref="AK83">
    <cfRule type="colorScale" priority="461">
      <colorScale>
        <cfvo type="min"/>
        <cfvo type="formula" val="1"/>
        <color theme="0"/>
        <color rgb="FF92D050"/>
      </colorScale>
    </cfRule>
  </conditionalFormatting>
  <conditionalFormatting sqref="AK83">
    <cfRule type="colorScale" priority="462">
      <colorScale>
        <cfvo type="formula" val="0"/>
        <cfvo type="formula" val="1"/>
        <cfvo type="formula" val="2"/>
        <color rgb="FFFFFFFF"/>
        <color rgb="FFFFFF00"/>
        <color rgb="FF00B050"/>
      </colorScale>
    </cfRule>
  </conditionalFormatting>
  <conditionalFormatting sqref="V83">
    <cfRule type="colorScale" priority="463">
      <colorScale>
        <cfvo type="min"/>
        <cfvo type="formula" val="1"/>
        <color theme="0"/>
        <color rgb="FF92D050"/>
      </colorScale>
    </cfRule>
  </conditionalFormatting>
  <conditionalFormatting sqref="V83">
    <cfRule type="colorScale" priority="464">
      <colorScale>
        <cfvo type="formula" val="0"/>
        <cfvo type="formula" val="1"/>
        <cfvo type="formula" val="2"/>
        <color rgb="FFFFFFFF"/>
        <color rgb="FFFFFF00"/>
        <color rgb="FF00B050"/>
      </colorScale>
    </cfRule>
  </conditionalFormatting>
  <conditionalFormatting sqref="X83:AL83">
    <cfRule type="colorScale" priority="465">
      <colorScale>
        <cfvo type="formula" val="0"/>
        <cfvo type="formula" val="1"/>
        <cfvo type="formula" val="2"/>
        <color rgb="FFFFFFFF"/>
        <color rgb="FFFFFF00"/>
        <color rgb="FF00B050"/>
      </colorScale>
    </cfRule>
  </conditionalFormatting>
  <conditionalFormatting sqref="X83">
    <cfRule type="colorScale" priority="466">
      <colorScale>
        <cfvo type="min"/>
        <cfvo type="formula" val="1"/>
        <color theme="0"/>
        <color rgb="FF92D050"/>
      </colorScale>
    </cfRule>
  </conditionalFormatting>
  <conditionalFormatting sqref="Z83">
    <cfRule type="colorScale" priority="467">
      <colorScale>
        <cfvo type="min"/>
        <cfvo type="formula" val="1"/>
        <color theme="0"/>
        <color rgb="FF92D050"/>
      </colorScale>
    </cfRule>
  </conditionalFormatting>
  <conditionalFormatting sqref="Z83">
    <cfRule type="colorScale" priority="468">
      <colorScale>
        <cfvo type="formula" val="0"/>
        <cfvo type="formula" val="1"/>
        <cfvo type="formula" val="2"/>
        <color rgb="FFFFFFFF"/>
        <color rgb="FFFFFF00"/>
        <color rgb="FF00B050"/>
      </colorScale>
    </cfRule>
  </conditionalFormatting>
  <conditionalFormatting sqref="AB83">
    <cfRule type="colorScale" priority="469">
      <colorScale>
        <cfvo type="min"/>
        <cfvo type="formula" val="1"/>
        <color theme="0"/>
        <color rgb="FF92D050"/>
      </colorScale>
    </cfRule>
  </conditionalFormatting>
  <conditionalFormatting sqref="AB83">
    <cfRule type="colorScale" priority="470">
      <colorScale>
        <cfvo type="formula" val="0"/>
        <cfvo type="formula" val="1"/>
        <cfvo type="formula" val="2"/>
        <color rgb="FFFFFFFF"/>
        <color rgb="FFFFFF00"/>
        <color rgb="FF00B050"/>
      </colorScale>
    </cfRule>
  </conditionalFormatting>
  <conditionalFormatting sqref="AD83">
    <cfRule type="colorScale" priority="471">
      <colorScale>
        <cfvo type="min"/>
        <cfvo type="formula" val="1"/>
        <color theme="0"/>
        <color rgb="FF92D050"/>
      </colorScale>
    </cfRule>
  </conditionalFormatting>
  <conditionalFormatting sqref="AD83">
    <cfRule type="colorScale" priority="472">
      <colorScale>
        <cfvo type="formula" val="0"/>
        <cfvo type="formula" val="1"/>
        <cfvo type="formula" val="2"/>
        <color rgb="FFFFFFFF"/>
        <color rgb="FFFFFF00"/>
        <color rgb="FF00B050"/>
      </colorScale>
    </cfRule>
  </conditionalFormatting>
  <conditionalFormatting sqref="AF83">
    <cfRule type="colorScale" priority="473">
      <colorScale>
        <cfvo type="min"/>
        <cfvo type="formula" val="1"/>
        <color theme="0"/>
        <color rgb="FF92D050"/>
      </colorScale>
    </cfRule>
  </conditionalFormatting>
  <conditionalFormatting sqref="AF83">
    <cfRule type="colorScale" priority="474">
      <colorScale>
        <cfvo type="formula" val="0"/>
        <cfvo type="formula" val="1"/>
        <cfvo type="formula" val="2"/>
        <color rgb="FFFFFFFF"/>
        <color rgb="FFFFFF00"/>
        <color rgb="FF00B050"/>
      </colorScale>
    </cfRule>
  </conditionalFormatting>
  <conditionalFormatting sqref="AH83">
    <cfRule type="colorScale" priority="475">
      <colorScale>
        <cfvo type="min"/>
        <cfvo type="formula" val="1"/>
        <color theme="0"/>
        <color rgb="FF92D050"/>
      </colorScale>
    </cfRule>
  </conditionalFormatting>
  <conditionalFormatting sqref="AH83">
    <cfRule type="colorScale" priority="476">
      <colorScale>
        <cfvo type="formula" val="0"/>
        <cfvo type="formula" val="1"/>
        <cfvo type="formula" val="2"/>
        <color rgb="FFFFFFFF"/>
        <color rgb="FFFFFF00"/>
        <color rgb="FF00B050"/>
      </colorScale>
    </cfRule>
  </conditionalFormatting>
  <conditionalFormatting sqref="AJ83">
    <cfRule type="colorScale" priority="477">
      <colorScale>
        <cfvo type="min"/>
        <cfvo type="formula" val="1"/>
        <color theme="0"/>
        <color rgb="FF92D050"/>
      </colorScale>
    </cfRule>
  </conditionalFormatting>
  <conditionalFormatting sqref="AJ83">
    <cfRule type="colorScale" priority="478">
      <colorScale>
        <cfvo type="formula" val="0"/>
        <cfvo type="formula" val="1"/>
        <cfvo type="formula" val="2"/>
        <color rgb="FFFFFFFF"/>
        <color rgb="FFFFFF00"/>
        <color rgb="FF00B050"/>
      </colorScale>
    </cfRule>
  </conditionalFormatting>
  <conditionalFormatting sqref="AL83">
    <cfRule type="colorScale" priority="479">
      <colorScale>
        <cfvo type="min"/>
        <cfvo type="formula" val="1"/>
        <color theme="0"/>
        <color rgb="FF92D050"/>
      </colorScale>
    </cfRule>
  </conditionalFormatting>
  <conditionalFormatting sqref="AL83">
    <cfRule type="colorScale" priority="480">
      <colorScale>
        <cfvo type="formula" val="0"/>
        <cfvo type="formula" val="1"/>
        <cfvo type="formula" val="2"/>
        <color rgb="FFFFFFFF"/>
        <color rgb="FFFFFF00"/>
        <color rgb="FF00B050"/>
      </colorScale>
    </cfRule>
  </conditionalFormatting>
  <conditionalFormatting sqref="W89 Y89 AA89 AC89 AE89 AG89 AI89">
    <cfRule type="colorScale" priority="481">
      <colorScale>
        <cfvo type="min"/>
        <cfvo type="formula" val="1"/>
        <color theme="0"/>
        <color rgb="FF92D050"/>
      </colorScale>
    </cfRule>
  </conditionalFormatting>
  <conditionalFormatting sqref="W89 Y89 AA89 AC89 AE89 AG89 AI89">
    <cfRule type="colorScale" priority="482">
      <colorScale>
        <cfvo type="formula" val="0"/>
        <cfvo type="formula" val="1"/>
        <cfvo type="formula" val="2"/>
        <color rgb="FFFFFFFF"/>
        <color rgb="FFFFFF00"/>
        <color rgb="FF00B050"/>
      </colorScale>
    </cfRule>
  </conditionalFormatting>
  <conditionalFormatting sqref="AK89">
    <cfRule type="colorScale" priority="483">
      <colorScale>
        <cfvo type="min"/>
        <cfvo type="formula" val="1"/>
        <color theme="0"/>
        <color rgb="FF92D050"/>
      </colorScale>
    </cfRule>
  </conditionalFormatting>
  <conditionalFormatting sqref="AK89">
    <cfRule type="colorScale" priority="484">
      <colorScale>
        <cfvo type="formula" val="0"/>
        <cfvo type="formula" val="1"/>
        <cfvo type="formula" val="2"/>
        <color rgb="FFFFFFFF"/>
        <color rgb="FFFFFF00"/>
        <color rgb="FF00B050"/>
      </colorScale>
    </cfRule>
  </conditionalFormatting>
  <conditionalFormatting sqref="V89">
    <cfRule type="colorScale" priority="485">
      <colorScale>
        <cfvo type="min"/>
        <cfvo type="formula" val="1"/>
        <color theme="0"/>
        <color rgb="FF92D050"/>
      </colorScale>
    </cfRule>
  </conditionalFormatting>
  <conditionalFormatting sqref="V89">
    <cfRule type="colorScale" priority="486">
      <colorScale>
        <cfvo type="formula" val="0"/>
        <cfvo type="formula" val="1"/>
        <cfvo type="formula" val="2"/>
        <color rgb="FFFFFFFF"/>
        <color rgb="FFFFFF00"/>
        <color rgb="FF00B050"/>
      </colorScale>
    </cfRule>
  </conditionalFormatting>
  <conditionalFormatting sqref="X89:AL89">
    <cfRule type="colorScale" priority="487">
      <colorScale>
        <cfvo type="formula" val="0"/>
        <cfvo type="formula" val="1"/>
        <cfvo type="formula" val="2"/>
        <color rgb="FFFFFFFF"/>
        <color rgb="FFFFFF00"/>
        <color rgb="FF00B050"/>
      </colorScale>
    </cfRule>
  </conditionalFormatting>
  <conditionalFormatting sqref="X89">
    <cfRule type="colorScale" priority="488">
      <colorScale>
        <cfvo type="min"/>
        <cfvo type="formula" val="1"/>
        <color theme="0"/>
        <color rgb="FF92D050"/>
      </colorScale>
    </cfRule>
  </conditionalFormatting>
  <conditionalFormatting sqref="Z89">
    <cfRule type="colorScale" priority="489">
      <colorScale>
        <cfvo type="min"/>
        <cfvo type="formula" val="1"/>
        <color theme="0"/>
        <color rgb="FF92D050"/>
      </colorScale>
    </cfRule>
  </conditionalFormatting>
  <conditionalFormatting sqref="Z89">
    <cfRule type="colorScale" priority="490">
      <colorScale>
        <cfvo type="formula" val="0"/>
        <cfvo type="formula" val="1"/>
        <cfvo type="formula" val="2"/>
        <color rgb="FFFFFFFF"/>
        <color rgb="FFFFFF00"/>
        <color rgb="FF00B050"/>
      </colorScale>
    </cfRule>
  </conditionalFormatting>
  <conditionalFormatting sqref="AB89">
    <cfRule type="colorScale" priority="491">
      <colorScale>
        <cfvo type="min"/>
        <cfvo type="formula" val="1"/>
        <color theme="0"/>
        <color rgb="FF92D050"/>
      </colorScale>
    </cfRule>
  </conditionalFormatting>
  <conditionalFormatting sqref="AB89">
    <cfRule type="colorScale" priority="492">
      <colorScale>
        <cfvo type="formula" val="0"/>
        <cfvo type="formula" val="1"/>
        <cfvo type="formula" val="2"/>
        <color rgb="FFFFFFFF"/>
        <color rgb="FFFFFF00"/>
        <color rgb="FF00B050"/>
      </colorScale>
    </cfRule>
  </conditionalFormatting>
  <conditionalFormatting sqref="AD89">
    <cfRule type="colorScale" priority="493">
      <colorScale>
        <cfvo type="min"/>
        <cfvo type="formula" val="1"/>
        <color theme="0"/>
        <color rgb="FF92D050"/>
      </colorScale>
    </cfRule>
  </conditionalFormatting>
  <conditionalFormatting sqref="AD89">
    <cfRule type="colorScale" priority="494">
      <colorScale>
        <cfvo type="formula" val="0"/>
        <cfvo type="formula" val="1"/>
        <cfvo type="formula" val="2"/>
        <color rgb="FFFFFFFF"/>
        <color rgb="FFFFFF00"/>
        <color rgb="FF00B050"/>
      </colorScale>
    </cfRule>
  </conditionalFormatting>
  <conditionalFormatting sqref="AF89">
    <cfRule type="colorScale" priority="495">
      <colorScale>
        <cfvo type="min"/>
        <cfvo type="formula" val="1"/>
        <color theme="0"/>
        <color rgb="FF92D050"/>
      </colorScale>
    </cfRule>
  </conditionalFormatting>
  <conditionalFormatting sqref="AF89">
    <cfRule type="colorScale" priority="496">
      <colorScale>
        <cfvo type="formula" val="0"/>
        <cfvo type="formula" val="1"/>
        <cfvo type="formula" val="2"/>
        <color rgb="FFFFFFFF"/>
        <color rgb="FFFFFF00"/>
        <color rgb="FF00B050"/>
      </colorScale>
    </cfRule>
  </conditionalFormatting>
  <conditionalFormatting sqref="AH89">
    <cfRule type="colorScale" priority="497">
      <colorScale>
        <cfvo type="min"/>
        <cfvo type="formula" val="1"/>
        <color theme="0"/>
        <color rgb="FF92D050"/>
      </colorScale>
    </cfRule>
  </conditionalFormatting>
  <conditionalFormatting sqref="AH89">
    <cfRule type="colorScale" priority="498">
      <colorScale>
        <cfvo type="formula" val="0"/>
        <cfvo type="formula" val="1"/>
        <cfvo type="formula" val="2"/>
        <color rgb="FFFFFFFF"/>
        <color rgb="FFFFFF00"/>
        <color rgb="FF00B050"/>
      </colorScale>
    </cfRule>
  </conditionalFormatting>
  <conditionalFormatting sqref="AJ89">
    <cfRule type="colorScale" priority="499">
      <colorScale>
        <cfvo type="min"/>
        <cfvo type="formula" val="1"/>
        <color theme="0"/>
        <color rgb="FF92D050"/>
      </colorScale>
    </cfRule>
  </conditionalFormatting>
  <conditionalFormatting sqref="AJ89">
    <cfRule type="colorScale" priority="500">
      <colorScale>
        <cfvo type="formula" val="0"/>
        <cfvo type="formula" val="1"/>
        <cfvo type="formula" val="2"/>
        <color rgb="FFFFFFFF"/>
        <color rgb="FFFFFF00"/>
        <color rgb="FF00B050"/>
      </colorScale>
    </cfRule>
  </conditionalFormatting>
  <conditionalFormatting sqref="AL89">
    <cfRule type="colorScale" priority="501">
      <colorScale>
        <cfvo type="min"/>
        <cfvo type="formula" val="1"/>
        <color theme="0"/>
        <color rgb="FF92D050"/>
      </colorScale>
    </cfRule>
  </conditionalFormatting>
  <conditionalFormatting sqref="AL89">
    <cfRule type="colorScale" priority="502">
      <colorScale>
        <cfvo type="formula" val="0"/>
        <cfvo type="formula" val="1"/>
        <cfvo type="formula" val="2"/>
        <color rgb="FFFFFFFF"/>
        <color rgb="FFFFFF00"/>
        <color rgb="FF00B050"/>
      </colorScale>
    </cfRule>
  </conditionalFormatting>
  <conditionalFormatting sqref="W95 Y95 AA95 AC95 AE95 AG95 AI95">
    <cfRule type="colorScale" priority="503">
      <colorScale>
        <cfvo type="min"/>
        <cfvo type="formula" val="1"/>
        <color theme="0"/>
        <color rgb="FF92D050"/>
      </colorScale>
    </cfRule>
  </conditionalFormatting>
  <conditionalFormatting sqref="W95 Y95 AA95 AC95 AE95 AG95 AI95">
    <cfRule type="colorScale" priority="504">
      <colorScale>
        <cfvo type="formula" val="0"/>
        <cfvo type="formula" val="1"/>
        <cfvo type="formula" val="2"/>
        <color rgb="FFFFFFFF"/>
        <color rgb="FFFFFF00"/>
        <color rgb="FF00B050"/>
      </colorScale>
    </cfRule>
  </conditionalFormatting>
  <conditionalFormatting sqref="AK95">
    <cfRule type="colorScale" priority="505">
      <colorScale>
        <cfvo type="min"/>
        <cfvo type="formula" val="1"/>
        <color theme="0"/>
        <color rgb="FF92D050"/>
      </colorScale>
    </cfRule>
  </conditionalFormatting>
  <conditionalFormatting sqref="AK95">
    <cfRule type="colorScale" priority="506">
      <colorScale>
        <cfvo type="formula" val="0"/>
        <cfvo type="formula" val="1"/>
        <cfvo type="formula" val="2"/>
        <color rgb="FFFFFFFF"/>
        <color rgb="FFFFFF00"/>
        <color rgb="FF00B050"/>
      </colorScale>
    </cfRule>
  </conditionalFormatting>
  <conditionalFormatting sqref="V95">
    <cfRule type="colorScale" priority="507">
      <colorScale>
        <cfvo type="min"/>
        <cfvo type="formula" val="1"/>
        <color theme="0"/>
        <color rgb="FF92D050"/>
      </colorScale>
    </cfRule>
  </conditionalFormatting>
  <conditionalFormatting sqref="V95">
    <cfRule type="colorScale" priority="508">
      <colorScale>
        <cfvo type="formula" val="0"/>
        <cfvo type="formula" val="1"/>
        <cfvo type="formula" val="2"/>
        <color rgb="FFFFFFFF"/>
        <color rgb="FFFFFF00"/>
        <color rgb="FF00B050"/>
      </colorScale>
    </cfRule>
  </conditionalFormatting>
  <conditionalFormatting sqref="X95:AL95">
    <cfRule type="colorScale" priority="509">
      <colorScale>
        <cfvo type="formula" val="0"/>
        <cfvo type="formula" val="1"/>
        <cfvo type="formula" val="2"/>
        <color rgb="FFFFFFFF"/>
        <color rgb="FFFFFF00"/>
        <color rgb="FF00B050"/>
      </colorScale>
    </cfRule>
  </conditionalFormatting>
  <conditionalFormatting sqref="X95">
    <cfRule type="colorScale" priority="510">
      <colorScale>
        <cfvo type="min"/>
        <cfvo type="formula" val="1"/>
        <color theme="0"/>
        <color rgb="FF92D050"/>
      </colorScale>
    </cfRule>
  </conditionalFormatting>
  <conditionalFormatting sqref="Z95">
    <cfRule type="colorScale" priority="511">
      <colorScale>
        <cfvo type="min"/>
        <cfvo type="formula" val="1"/>
        <color theme="0"/>
        <color rgb="FF92D050"/>
      </colorScale>
    </cfRule>
  </conditionalFormatting>
  <conditionalFormatting sqref="Z95">
    <cfRule type="colorScale" priority="512">
      <colorScale>
        <cfvo type="formula" val="0"/>
        <cfvo type="formula" val="1"/>
        <cfvo type="formula" val="2"/>
        <color rgb="FFFFFFFF"/>
        <color rgb="FFFFFF00"/>
        <color rgb="FF00B050"/>
      </colorScale>
    </cfRule>
  </conditionalFormatting>
  <conditionalFormatting sqref="AB95">
    <cfRule type="colorScale" priority="513">
      <colorScale>
        <cfvo type="min"/>
        <cfvo type="formula" val="1"/>
        <color theme="0"/>
        <color rgb="FF92D050"/>
      </colorScale>
    </cfRule>
  </conditionalFormatting>
  <conditionalFormatting sqref="AB95">
    <cfRule type="colorScale" priority="514">
      <colorScale>
        <cfvo type="formula" val="0"/>
        <cfvo type="formula" val="1"/>
        <cfvo type="formula" val="2"/>
        <color rgb="FFFFFFFF"/>
        <color rgb="FFFFFF00"/>
        <color rgb="FF00B050"/>
      </colorScale>
    </cfRule>
  </conditionalFormatting>
  <conditionalFormatting sqref="AD95">
    <cfRule type="colorScale" priority="515">
      <colorScale>
        <cfvo type="min"/>
        <cfvo type="formula" val="1"/>
        <color theme="0"/>
        <color rgb="FF92D050"/>
      </colorScale>
    </cfRule>
  </conditionalFormatting>
  <conditionalFormatting sqref="AD95">
    <cfRule type="colorScale" priority="516">
      <colorScale>
        <cfvo type="formula" val="0"/>
        <cfvo type="formula" val="1"/>
        <cfvo type="formula" val="2"/>
        <color rgb="FFFFFFFF"/>
        <color rgb="FFFFFF00"/>
        <color rgb="FF00B050"/>
      </colorScale>
    </cfRule>
  </conditionalFormatting>
  <conditionalFormatting sqref="AF95">
    <cfRule type="colorScale" priority="517">
      <colorScale>
        <cfvo type="min"/>
        <cfvo type="formula" val="1"/>
        <color theme="0"/>
        <color rgb="FF92D050"/>
      </colorScale>
    </cfRule>
  </conditionalFormatting>
  <conditionalFormatting sqref="AF95">
    <cfRule type="colorScale" priority="518">
      <colorScale>
        <cfvo type="formula" val="0"/>
        <cfvo type="formula" val="1"/>
        <cfvo type="formula" val="2"/>
        <color rgb="FFFFFFFF"/>
        <color rgb="FFFFFF00"/>
        <color rgb="FF00B050"/>
      </colorScale>
    </cfRule>
  </conditionalFormatting>
  <conditionalFormatting sqref="AH95">
    <cfRule type="colorScale" priority="519">
      <colorScale>
        <cfvo type="min"/>
        <cfvo type="formula" val="1"/>
        <color theme="0"/>
        <color rgb="FF92D050"/>
      </colorScale>
    </cfRule>
  </conditionalFormatting>
  <conditionalFormatting sqref="AH95">
    <cfRule type="colorScale" priority="520">
      <colorScale>
        <cfvo type="formula" val="0"/>
        <cfvo type="formula" val="1"/>
        <cfvo type="formula" val="2"/>
        <color rgb="FFFFFFFF"/>
        <color rgb="FFFFFF00"/>
        <color rgb="FF00B050"/>
      </colorScale>
    </cfRule>
  </conditionalFormatting>
  <conditionalFormatting sqref="AJ95">
    <cfRule type="colorScale" priority="521">
      <colorScale>
        <cfvo type="min"/>
        <cfvo type="formula" val="1"/>
        <color theme="0"/>
        <color rgb="FF92D050"/>
      </colorScale>
    </cfRule>
  </conditionalFormatting>
  <conditionalFormatting sqref="AJ95">
    <cfRule type="colorScale" priority="522">
      <colorScale>
        <cfvo type="formula" val="0"/>
        <cfvo type="formula" val="1"/>
        <cfvo type="formula" val="2"/>
        <color rgb="FFFFFFFF"/>
        <color rgb="FFFFFF00"/>
        <color rgb="FF00B050"/>
      </colorScale>
    </cfRule>
  </conditionalFormatting>
  <conditionalFormatting sqref="AL95">
    <cfRule type="colorScale" priority="523">
      <colorScale>
        <cfvo type="min"/>
        <cfvo type="formula" val="1"/>
        <color theme="0"/>
        <color rgb="FF92D050"/>
      </colorScale>
    </cfRule>
  </conditionalFormatting>
  <conditionalFormatting sqref="AL95">
    <cfRule type="colorScale" priority="524">
      <colorScale>
        <cfvo type="formula" val="0"/>
        <cfvo type="formula" val="1"/>
        <cfvo type="formula" val="2"/>
        <color rgb="FFFFFFFF"/>
        <color rgb="FFFFFF00"/>
        <color rgb="FF00B050"/>
      </colorScale>
    </cfRule>
  </conditionalFormatting>
  <conditionalFormatting sqref="W101 Y101 AA101 AC101 AE101 AG101 AI101">
    <cfRule type="colorScale" priority="525">
      <colorScale>
        <cfvo type="min"/>
        <cfvo type="formula" val="1"/>
        <color theme="0"/>
        <color rgb="FF92D050"/>
      </colorScale>
    </cfRule>
  </conditionalFormatting>
  <conditionalFormatting sqref="W101 Y101 AA101 AC101 AE101 AG101 AI101">
    <cfRule type="colorScale" priority="526">
      <colorScale>
        <cfvo type="formula" val="0"/>
        <cfvo type="formula" val="1"/>
        <cfvo type="formula" val="2"/>
        <color rgb="FFFFFFFF"/>
        <color rgb="FFFFFF00"/>
        <color rgb="FF00B050"/>
      </colorScale>
    </cfRule>
  </conditionalFormatting>
  <conditionalFormatting sqref="AK101">
    <cfRule type="colorScale" priority="527">
      <colorScale>
        <cfvo type="min"/>
        <cfvo type="formula" val="1"/>
        <color theme="0"/>
        <color rgb="FF92D050"/>
      </colorScale>
    </cfRule>
  </conditionalFormatting>
  <conditionalFormatting sqref="AK101">
    <cfRule type="colorScale" priority="528">
      <colorScale>
        <cfvo type="formula" val="0"/>
        <cfvo type="formula" val="1"/>
        <cfvo type="formula" val="2"/>
        <color rgb="FFFFFFFF"/>
        <color rgb="FFFFFF00"/>
        <color rgb="FF00B050"/>
      </colorScale>
    </cfRule>
  </conditionalFormatting>
  <conditionalFormatting sqref="V101">
    <cfRule type="colorScale" priority="529">
      <colorScale>
        <cfvo type="min"/>
        <cfvo type="formula" val="1"/>
        <color theme="0"/>
        <color rgb="FF92D050"/>
      </colorScale>
    </cfRule>
  </conditionalFormatting>
  <conditionalFormatting sqref="V101">
    <cfRule type="colorScale" priority="530">
      <colorScale>
        <cfvo type="formula" val="0"/>
        <cfvo type="formula" val="1"/>
        <cfvo type="formula" val="2"/>
        <color rgb="FFFFFFFF"/>
        <color rgb="FFFFFF00"/>
        <color rgb="FF00B050"/>
      </colorScale>
    </cfRule>
  </conditionalFormatting>
  <conditionalFormatting sqref="X101:AL101">
    <cfRule type="colorScale" priority="531">
      <colorScale>
        <cfvo type="formula" val="0"/>
        <cfvo type="formula" val="1"/>
        <cfvo type="formula" val="2"/>
        <color rgb="FFFFFFFF"/>
        <color rgb="FFFFFF00"/>
        <color rgb="FF00B050"/>
      </colorScale>
    </cfRule>
  </conditionalFormatting>
  <conditionalFormatting sqref="X101">
    <cfRule type="colorScale" priority="532">
      <colorScale>
        <cfvo type="min"/>
        <cfvo type="formula" val="1"/>
        <color theme="0"/>
        <color rgb="FF92D050"/>
      </colorScale>
    </cfRule>
  </conditionalFormatting>
  <conditionalFormatting sqref="Z101">
    <cfRule type="colorScale" priority="533">
      <colorScale>
        <cfvo type="min"/>
        <cfvo type="formula" val="1"/>
        <color theme="0"/>
        <color rgb="FF92D050"/>
      </colorScale>
    </cfRule>
  </conditionalFormatting>
  <conditionalFormatting sqref="Z101">
    <cfRule type="colorScale" priority="534">
      <colorScale>
        <cfvo type="formula" val="0"/>
        <cfvo type="formula" val="1"/>
        <cfvo type="formula" val="2"/>
        <color rgb="FFFFFFFF"/>
        <color rgb="FFFFFF00"/>
        <color rgb="FF00B050"/>
      </colorScale>
    </cfRule>
  </conditionalFormatting>
  <conditionalFormatting sqref="AB101">
    <cfRule type="colorScale" priority="535">
      <colorScale>
        <cfvo type="min"/>
        <cfvo type="formula" val="1"/>
        <color theme="0"/>
        <color rgb="FF92D050"/>
      </colorScale>
    </cfRule>
  </conditionalFormatting>
  <conditionalFormatting sqref="AB101">
    <cfRule type="colorScale" priority="536">
      <colorScale>
        <cfvo type="formula" val="0"/>
        <cfvo type="formula" val="1"/>
        <cfvo type="formula" val="2"/>
        <color rgb="FFFFFFFF"/>
        <color rgb="FFFFFF00"/>
        <color rgb="FF00B050"/>
      </colorScale>
    </cfRule>
  </conditionalFormatting>
  <conditionalFormatting sqref="AD101">
    <cfRule type="colorScale" priority="537">
      <colorScale>
        <cfvo type="min"/>
        <cfvo type="formula" val="1"/>
        <color theme="0"/>
        <color rgb="FF92D050"/>
      </colorScale>
    </cfRule>
  </conditionalFormatting>
  <conditionalFormatting sqref="AD101">
    <cfRule type="colorScale" priority="538">
      <colorScale>
        <cfvo type="formula" val="0"/>
        <cfvo type="formula" val="1"/>
        <cfvo type="formula" val="2"/>
        <color rgb="FFFFFFFF"/>
        <color rgb="FFFFFF00"/>
        <color rgb="FF00B050"/>
      </colorScale>
    </cfRule>
  </conditionalFormatting>
  <conditionalFormatting sqref="AF101">
    <cfRule type="colorScale" priority="539">
      <colorScale>
        <cfvo type="min"/>
        <cfvo type="formula" val="1"/>
        <color theme="0"/>
        <color rgb="FF92D050"/>
      </colorScale>
    </cfRule>
  </conditionalFormatting>
  <conditionalFormatting sqref="AF101">
    <cfRule type="colorScale" priority="540">
      <colorScale>
        <cfvo type="formula" val="0"/>
        <cfvo type="formula" val="1"/>
        <cfvo type="formula" val="2"/>
        <color rgb="FFFFFFFF"/>
        <color rgb="FFFFFF00"/>
        <color rgb="FF00B050"/>
      </colorScale>
    </cfRule>
  </conditionalFormatting>
  <conditionalFormatting sqref="AH101">
    <cfRule type="colorScale" priority="541">
      <colorScale>
        <cfvo type="min"/>
        <cfvo type="formula" val="1"/>
        <color theme="0"/>
        <color rgb="FF92D050"/>
      </colorScale>
    </cfRule>
  </conditionalFormatting>
  <conditionalFormatting sqref="AH101">
    <cfRule type="colorScale" priority="542">
      <colorScale>
        <cfvo type="formula" val="0"/>
        <cfvo type="formula" val="1"/>
        <cfvo type="formula" val="2"/>
        <color rgb="FFFFFFFF"/>
        <color rgb="FFFFFF00"/>
        <color rgb="FF00B050"/>
      </colorScale>
    </cfRule>
  </conditionalFormatting>
  <conditionalFormatting sqref="AJ101">
    <cfRule type="colorScale" priority="543">
      <colorScale>
        <cfvo type="min"/>
        <cfvo type="formula" val="1"/>
        <color theme="0"/>
        <color rgb="FF92D050"/>
      </colorScale>
    </cfRule>
  </conditionalFormatting>
  <conditionalFormatting sqref="AJ101">
    <cfRule type="colorScale" priority="544">
      <colorScale>
        <cfvo type="formula" val="0"/>
        <cfvo type="formula" val="1"/>
        <cfvo type="formula" val="2"/>
        <color rgb="FFFFFFFF"/>
        <color rgb="FFFFFF00"/>
        <color rgb="FF00B050"/>
      </colorScale>
    </cfRule>
  </conditionalFormatting>
  <conditionalFormatting sqref="AL101">
    <cfRule type="colorScale" priority="545">
      <colorScale>
        <cfvo type="min"/>
        <cfvo type="formula" val="1"/>
        <color theme="0"/>
        <color rgb="FF92D050"/>
      </colorScale>
    </cfRule>
  </conditionalFormatting>
  <conditionalFormatting sqref="AL101">
    <cfRule type="colorScale" priority="546">
      <colorScale>
        <cfvo type="formula" val="0"/>
        <cfvo type="formula" val="1"/>
        <cfvo type="formula" val="2"/>
        <color rgb="FFFFFFFF"/>
        <color rgb="FFFFFF00"/>
        <color rgb="FF00B050"/>
      </colorScale>
    </cfRule>
  </conditionalFormatting>
  <conditionalFormatting sqref="W107 Y107 AA107 AC107 AE107 AG107 AI107">
    <cfRule type="colorScale" priority="547">
      <colorScale>
        <cfvo type="min"/>
        <cfvo type="formula" val="1"/>
        <color theme="0"/>
        <color rgb="FF92D050"/>
      </colorScale>
    </cfRule>
  </conditionalFormatting>
  <conditionalFormatting sqref="W107 Y107 AA107 AC107 AE107 AG107 AI107">
    <cfRule type="colorScale" priority="548">
      <colorScale>
        <cfvo type="formula" val="0"/>
        <cfvo type="formula" val="1"/>
        <cfvo type="formula" val="2"/>
        <color rgb="FFFFFFFF"/>
        <color rgb="FFFFFF00"/>
        <color rgb="FF00B050"/>
      </colorScale>
    </cfRule>
  </conditionalFormatting>
  <conditionalFormatting sqref="AK107">
    <cfRule type="colorScale" priority="549">
      <colorScale>
        <cfvo type="min"/>
        <cfvo type="formula" val="1"/>
        <color theme="0"/>
        <color rgb="FF92D050"/>
      </colorScale>
    </cfRule>
  </conditionalFormatting>
  <conditionalFormatting sqref="AK107">
    <cfRule type="colorScale" priority="550">
      <colorScale>
        <cfvo type="formula" val="0"/>
        <cfvo type="formula" val="1"/>
        <cfvo type="formula" val="2"/>
        <color rgb="FFFFFFFF"/>
        <color rgb="FFFFFF00"/>
        <color rgb="FF00B050"/>
      </colorScale>
    </cfRule>
  </conditionalFormatting>
  <conditionalFormatting sqref="V107">
    <cfRule type="colorScale" priority="551">
      <colorScale>
        <cfvo type="min"/>
        <cfvo type="formula" val="1"/>
        <color theme="0"/>
        <color rgb="FF92D050"/>
      </colorScale>
    </cfRule>
  </conditionalFormatting>
  <conditionalFormatting sqref="V107">
    <cfRule type="colorScale" priority="552">
      <colorScale>
        <cfvo type="formula" val="0"/>
        <cfvo type="formula" val="1"/>
        <cfvo type="formula" val="2"/>
        <color rgb="FFFFFFFF"/>
        <color rgb="FFFFFF00"/>
        <color rgb="FF00B050"/>
      </colorScale>
    </cfRule>
  </conditionalFormatting>
  <conditionalFormatting sqref="X107:AL107">
    <cfRule type="colorScale" priority="553">
      <colorScale>
        <cfvo type="formula" val="0"/>
        <cfvo type="formula" val="1"/>
        <cfvo type="formula" val="2"/>
        <color rgb="FFFFFFFF"/>
        <color rgb="FFFFFF00"/>
        <color rgb="FF00B050"/>
      </colorScale>
    </cfRule>
  </conditionalFormatting>
  <conditionalFormatting sqref="X107">
    <cfRule type="colorScale" priority="554">
      <colorScale>
        <cfvo type="min"/>
        <cfvo type="formula" val="1"/>
        <color theme="0"/>
        <color rgb="FF92D050"/>
      </colorScale>
    </cfRule>
  </conditionalFormatting>
  <conditionalFormatting sqref="Z107">
    <cfRule type="colorScale" priority="555">
      <colorScale>
        <cfvo type="min"/>
        <cfvo type="formula" val="1"/>
        <color theme="0"/>
        <color rgb="FF92D050"/>
      </colorScale>
    </cfRule>
  </conditionalFormatting>
  <conditionalFormatting sqref="Z107">
    <cfRule type="colorScale" priority="556">
      <colorScale>
        <cfvo type="formula" val="0"/>
        <cfvo type="formula" val="1"/>
        <cfvo type="formula" val="2"/>
        <color rgb="FFFFFFFF"/>
        <color rgb="FFFFFF00"/>
        <color rgb="FF00B050"/>
      </colorScale>
    </cfRule>
  </conditionalFormatting>
  <conditionalFormatting sqref="AB107">
    <cfRule type="colorScale" priority="557">
      <colorScale>
        <cfvo type="min"/>
        <cfvo type="formula" val="1"/>
        <color theme="0"/>
        <color rgb="FF92D050"/>
      </colorScale>
    </cfRule>
  </conditionalFormatting>
  <conditionalFormatting sqref="AB107">
    <cfRule type="colorScale" priority="558">
      <colorScale>
        <cfvo type="formula" val="0"/>
        <cfvo type="formula" val="1"/>
        <cfvo type="formula" val="2"/>
        <color rgb="FFFFFFFF"/>
        <color rgb="FFFFFF00"/>
        <color rgb="FF00B050"/>
      </colorScale>
    </cfRule>
  </conditionalFormatting>
  <conditionalFormatting sqref="AD107">
    <cfRule type="colorScale" priority="559">
      <colorScale>
        <cfvo type="min"/>
        <cfvo type="formula" val="1"/>
        <color theme="0"/>
        <color rgb="FF92D050"/>
      </colorScale>
    </cfRule>
  </conditionalFormatting>
  <conditionalFormatting sqref="AD107">
    <cfRule type="colorScale" priority="560">
      <colorScale>
        <cfvo type="formula" val="0"/>
        <cfvo type="formula" val="1"/>
        <cfvo type="formula" val="2"/>
        <color rgb="FFFFFFFF"/>
        <color rgb="FFFFFF00"/>
        <color rgb="FF00B050"/>
      </colorScale>
    </cfRule>
  </conditionalFormatting>
  <conditionalFormatting sqref="AF107">
    <cfRule type="colorScale" priority="561">
      <colorScale>
        <cfvo type="min"/>
        <cfvo type="formula" val="1"/>
        <color theme="0"/>
        <color rgb="FF92D050"/>
      </colorScale>
    </cfRule>
  </conditionalFormatting>
  <conditionalFormatting sqref="AF107">
    <cfRule type="colorScale" priority="562">
      <colorScale>
        <cfvo type="formula" val="0"/>
        <cfvo type="formula" val="1"/>
        <cfvo type="formula" val="2"/>
        <color rgb="FFFFFFFF"/>
        <color rgb="FFFFFF00"/>
        <color rgb="FF00B050"/>
      </colorScale>
    </cfRule>
  </conditionalFormatting>
  <conditionalFormatting sqref="AH107">
    <cfRule type="colorScale" priority="563">
      <colorScale>
        <cfvo type="min"/>
        <cfvo type="formula" val="1"/>
        <color theme="0"/>
        <color rgb="FF92D050"/>
      </colorScale>
    </cfRule>
  </conditionalFormatting>
  <conditionalFormatting sqref="AH107">
    <cfRule type="colorScale" priority="564">
      <colorScale>
        <cfvo type="formula" val="0"/>
        <cfvo type="formula" val="1"/>
        <cfvo type="formula" val="2"/>
        <color rgb="FFFFFFFF"/>
        <color rgb="FFFFFF00"/>
        <color rgb="FF00B050"/>
      </colorScale>
    </cfRule>
  </conditionalFormatting>
  <conditionalFormatting sqref="AJ107">
    <cfRule type="colorScale" priority="565">
      <colorScale>
        <cfvo type="min"/>
        <cfvo type="formula" val="1"/>
        <color theme="0"/>
        <color rgb="FF92D050"/>
      </colorScale>
    </cfRule>
  </conditionalFormatting>
  <conditionalFormatting sqref="AJ107">
    <cfRule type="colorScale" priority="566">
      <colorScale>
        <cfvo type="formula" val="0"/>
        <cfvo type="formula" val="1"/>
        <cfvo type="formula" val="2"/>
        <color rgb="FFFFFFFF"/>
        <color rgb="FFFFFF00"/>
        <color rgb="FF00B050"/>
      </colorScale>
    </cfRule>
  </conditionalFormatting>
  <conditionalFormatting sqref="AL107">
    <cfRule type="colorScale" priority="567">
      <colorScale>
        <cfvo type="min"/>
        <cfvo type="formula" val="1"/>
        <color theme="0"/>
        <color rgb="FF92D050"/>
      </colorScale>
    </cfRule>
  </conditionalFormatting>
  <conditionalFormatting sqref="AL107">
    <cfRule type="colorScale" priority="568">
      <colorScale>
        <cfvo type="formula" val="0"/>
        <cfvo type="formula" val="1"/>
        <cfvo type="formula" val="2"/>
        <color rgb="FFFFFFFF"/>
        <color rgb="FFFFFF00"/>
        <color rgb="FF00B050"/>
      </colorScale>
    </cfRule>
  </conditionalFormatting>
  <conditionalFormatting sqref="W113 Y113 AA113 AC113 AE113 AG113 AI113">
    <cfRule type="colorScale" priority="569">
      <colorScale>
        <cfvo type="min"/>
        <cfvo type="formula" val="1"/>
        <color theme="0"/>
        <color rgb="FF92D050"/>
      </colorScale>
    </cfRule>
  </conditionalFormatting>
  <conditionalFormatting sqref="W113 Y113 AA113 AC113 AE113 AG113 AI113">
    <cfRule type="colorScale" priority="570">
      <colorScale>
        <cfvo type="formula" val="0"/>
        <cfvo type="formula" val="1"/>
        <cfvo type="formula" val="2"/>
        <color rgb="FFFFFFFF"/>
        <color rgb="FFFFFF00"/>
        <color rgb="FF00B050"/>
      </colorScale>
    </cfRule>
  </conditionalFormatting>
  <conditionalFormatting sqref="AK113">
    <cfRule type="colorScale" priority="571">
      <colorScale>
        <cfvo type="min"/>
        <cfvo type="formula" val="1"/>
        <color theme="0"/>
        <color rgb="FF92D050"/>
      </colorScale>
    </cfRule>
  </conditionalFormatting>
  <conditionalFormatting sqref="AK113">
    <cfRule type="colorScale" priority="572">
      <colorScale>
        <cfvo type="formula" val="0"/>
        <cfvo type="formula" val="1"/>
        <cfvo type="formula" val="2"/>
        <color rgb="FFFFFFFF"/>
        <color rgb="FFFFFF00"/>
        <color rgb="FF00B050"/>
      </colorScale>
    </cfRule>
  </conditionalFormatting>
  <conditionalFormatting sqref="V113">
    <cfRule type="colorScale" priority="573">
      <colorScale>
        <cfvo type="min"/>
        <cfvo type="formula" val="1"/>
        <color theme="0"/>
        <color rgb="FF92D050"/>
      </colorScale>
    </cfRule>
  </conditionalFormatting>
  <conditionalFormatting sqref="V113">
    <cfRule type="colorScale" priority="574">
      <colorScale>
        <cfvo type="formula" val="0"/>
        <cfvo type="formula" val="1"/>
        <cfvo type="formula" val="2"/>
        <color rgb="FFFFFFFF"/>
        <color rgb="FFFFFF00"/>
        <color rgb="FF00B050"/>
      </colorScale>
    </cfRule>
  </conditionalFormatting>
  <conditionalFormatting sqref="X113">
    <cfRule type="colorScale" priority="575">
      <colorScale>
        <cfvo type="min"/>
        <cfvo type="formula" val="1"/>
        <color theme="0"/>
        <color rgb="FF92D050"/>
      </colorScale>
    </cfRule>
  </conditionalFormatting>
  <conditionalFormatting sqref="X113">
    <cfRule type="colorScale" priority="576">
      <colorScale>
        <cfvo type="formula" val="0"/>
        <cfvo type="formula" val="1"/>
        <cfvo type="formula" val="2"/>
        <color rgb="FFFFFFFF"/>
        <color rgb="FFFFFF00"/>
        <color rgb="FF00B050"/>
      </colorScale>
    </cfRule>
  </conditionalFormatting>
  <conditionalFormatting sqref="Z113">
    <cfRule type="colorScale" priority="577">
      <colorScale>
        <cfvo type="min"/>
        <cfvo type="formula" val="1"/>
        <color theme="0"/>
        <color rgb="FF92D050"/>
      </colorScale>
    </cfRule>
  </conditionalFormatting>
  <conditionalFormatting sqref="Z113">
    <cfRule type="colorScale" priority="578">
      <colorScale>
        <cfvo type="formula" val="0"/>
        <cfvo type="formula" val="1"/>
        <cfvo type="formula" val="2"/>
        <color rgb="FFFFFFFF"/>
        <color rgb="FFFFFF00"/>
        <color rgb="FF00B050"/>
      </colorScale>
    </cfRule>
  </conditionalFormatting>
  <conditionalFormatting sqref="AB113">
    <cfRule type="colorScale" priority="579">
      <colorScale>
        <cfvo type="min"/>
        <cfvo type="formula" val="1"/>
        <color theme="0"/>
        <color rgb="FF92D050"/>
      </colorScale>
    </cfRule>
  </conditionalFormatting>
  <conditionalFormatting sqref="AB113">
    <cfRule type="colorScale" priority="580">
      <colorScale>
        <cfvo type="formula" val="0"/>
        <cfvo type="formula" val="1"/>
        <cfvo type="formula" val="2"/>
        <color rgb="FFFFFFFF"/>
        <color rgb="FFFFFF00"/>
        <color rgb="FF00B050"/>
      </colorScale>
    </cfRule>
  </conditionalFormatting>
  <conditionalFormatting sqref="AD113">
    <cfRule type="colorScale" priority="581">
      <colorScale>
        <cfvo type="min"/>
        <cfvo type="formula" val="1"/>
        <color theme="0"/>
        <color rgb="FF92D050"/>
      </colorScale>
    </cfRule>
  </conditionalFormatting>
  <conditionalFormatting sqref="AD113">
    <cfRule type="colorScale" priority="582">
      <colorScale>
        <cfvo type="formula" val="0"/>
        <cfvo type="formula" val="1"/>
        <cfvo type="formula" val="2"/>
        <color rgb="FFFFFFFF"/>
        <color rgb="FFFFFF00"/>
        <color rgb="FF00B050"/>
      </colorScale>
    </cfRule>
  </conditionalFormatting>
  <conditionalFormatting sqref="AF113">
    <cfRule type="colorScale" priority="583">
      <colorScale>
        <cfvo type="min"/>
        <cfvo type="formula" val="1"/>
        <color theme="0"/>
        <color rgb="FF92D050"/>
      </colorScale>
    </cfRule>
  </conditionalFormatting>
  <conditionalFormatting sqref="AF113">
    <cfRule type="colorScale" priority="584">
      <colorScale>
        <cfvo type="formula" val="0"/>
        <cfvo type="formula" val="1"/>
        <cfvo type="formula" val="2"/>
        <color rgb="FFFFFFFF"/>
        <color rgb="FFFFFF00"/>
        <color rgb="FF00B050"/>
      </colorScale>
    </cfRule>
  </conditionalFormatting>
  <conditionalFormatting sqref="AH113">
    <cfRule type="colorScale" priority="585">
      <colorScale>
        <cfvo type="min"/>
        <cfvo type="formula" val="1"/>
        <color theme="0"/>
        <color rgb="FF92D050"/>
      </colorScale>
    </cfRule>
  </conditionalFormatting>
  <conditionalFormatting sqref="AH113">
    <cfRule type="colorScale" priority="586">
      <colorScale>
        <cfvo type="formula" val="0"/>
        <cfvo type="formula" val="1"/>
        <cfvo type="formula" val="2"/>
        <color rgb="FFFFFFFF"/>
        <color rgb="FFFFFF00"/>
        <color rgb="FF00B050"/>
      </colorScale>
    </cfRule>
  </conditionalFormatting>
  <conditionalFormatting sqref="AJ113">
    <cfRule type="colorScale" priority="587">
      <colorScale>
        <cfvo type="min"/>
        <cfvo type="formula" val="1"/>
        <color theme="0"/>
        <color rgb="FF92D050"/>
      </colorScale>
    </cfRule>
  </conditionalFormatting>
  <conditionalFormatting sqref="AJ113">
    <cfRule type="colorScale" priority="588">
      <colorScale>
        <cfvo type="formula" val="0"/>
        <cfvo type="formula" val="1"/>
        <cfvo type="formula" val="2"/>
        <color rgb="FFFFFFFF"/>
        <color rgb="FFFFFF00"/>
        <color rgb="FF00B050"/>
      </colorScale>
    </cfRule>
  </conditionalFormatting>
  <conditionalFormatting sqref="AL113">
    <cfRule type="colorScale" priority="589">
      <colorScale>
        <cfvo type="min"/>
        <cfvo type="formula" val="1"/>
        <color theme="0"/>
        <color rgb="FF92D050"/>
      </colorScale>
    </cfRule>
  </conditionalFormatting>
  <conditionalFormatting sqref="AL113">
    <cfRule type="colorScale" priority="590">
      <colorScale>
        <cfvo type="formula" val="0"/>
        <cfvo type="formula" val="1"/>
        <cfvo type="formula" val="2"/>
        <color rgb="FFFFFFFF"/>
        <color rgb="FFFFFF00"/>
        <color rgb="FF00B050"/>
      </colorScale>
    </cfRule>
  </conditionalFormatting>
  <conditionalFormatting sqref="W119 Y119 AA119 AC119 AE119 AG119 AI119">
    <cfRule type="colorScale" priority="591">
      <colorScale>
        <cfvo type="min"/>
        <cfvo type="formula" val="1"/>
        <color theme="0"/>
        <color rgb="FF92D050"/>
      </colorScale>
    </cfRule>
  </conditionalFormatting>
  <conditionalFormatting sqref="W119 Y119 AA119 AC119 AE119 AG119 AI119">
    <cfRule type="colorScale" priority="592">
      <colorScale>
        <cfvo type="formula" val="0"/>
        <cfvo type="formula" val="1"/>
        <cfvo type="formula" val="2"/>
        <color rgb="FFFFFFFF"/>
        <color rgb="FFFFFF00"/>
        <color rgb="FF00B050"/>
      </colorScale>
    </cfRule>
  </conditionalFormatting>
  <conditionalFormatting sqref="AK119">
    <cfRule type="colorScale" priority="593">
      <colorScale>
        <cfvo type="min"/>
        <cfvo type="formula" val="1"/>
        <color theme="0"/>
        <color rgb="FF92D050"/>
      </colorScale>
    </cfRule>
  </conditionalFormatting>
  <conditionalFormatting sqref="AK119">
    <cfRule type="colorScale" priority="594">
      <colorScale>
        <cfvo type="formula" val="0"/>
        <cfvo type="formula" val="1"/>
        <cfvo type="formula" val="2"/>
        <color rgb="FFFFFFFF"/>
        <color rgb="FFFFFF00"/>
        <color rgb="FF00B050"/>
      </colorScale>
    </cfRule>
  </conditionalFormatting>
  <conditionalFormatting sqref="V119">
    <cfRule type="colorScale" priority="595">
      <colorScale>
        <cfvo type="min"/>
        <cfvo type="formula" val="1"/>
        <color theme="0"/>
        <color rgb="FF92D050"/>
      </colorScale>
    </cfRule>
  </conditionalFormatting>
  <conditionalFormatting sqref="V119">
    <cfRule type="colorScale" priority="596">
      <colorScale>
        <cfvo type="formula" val="0"/>
        <cfvo type="formula" val="1"/>
        <cfvo type="formula" val="2"/>
        <color rgb="FFFFFFFF"/>
        <color rgb="FFFFFF00"/>
        <color rgb="FF00B050"/>
      </colorScale>
    </cfRule>
  </conditionalFormatting>
  <conditionalFormatting sqref="X119">
    <cfRule type="colorScale" priority="597">
      <colorScale>
        <cfvo type="min"/>
        <cfvo type="formula" val="1"/>
        <color theme="0"/>
        <color rgb="FF92D050"/>
      </colorScale>
    </cfRule>
  </conditionalFormatting>
  <conditionalFormatting sqref="X119">
    <cfRule type="colorScale" priority="598">
      <colorScale>
        <cfvo type="formula" val="0"/>
        <cfvo type="formula" val="1"/>
        <cfvo type="formula" val="2"/>
        <color rgb="FFFFFFFF"/>
        <color rgb="FFFFFF00"/>
        <color rgb="FF00B050"/>
      </colorScale>
    </cfRule>
  </conditionalFormatting>
  <conditionalFormatting sqref="Z119">
    <cfRule type="colorScale" priority="599">
      <colorScale>
        <cfvo type="min"/>
        <cfvo type="formula" val="1"/>
        <color theme="0"/>
        <color rgb="FF92D050"/>
      </colorScale>
    </cfRule>
  </conditionalFormatting>
  <conditionalFormatting sqref="Z119">
    <cfRule type="colorScale" priority="600">
      <colorScale>
        <cfvo type="formula" val="0"/>
        <cfvo type="formula" val="1"/>
        <cfvo type="formula" val="2"/>
        <color rgb="FFFFFFFF"/>
        <color rgb="FFFFFF00"/>
        <color rgb="FF00B050"/>
      </colorScale>
    </cfRule>
  </conditionalFormatting>
  <conditionalFormatting sqref="AB119">
    <cfRule type="colorScale" priority="601">
      <colorScale>
        <cfvo type="min"/>
        <cfvo type="formula" val="1"/>
        <color theme="0"/>
        <color rgb="FF92D050"/>
      </colorScale>
    </cfRule>
  </conditionalFormatting>
  <conditionalFormatting sqref="AB119">
    <cfRule type="colorScale" priority="602">
      <colorScale>
        <cfvo type="formula" val="0"/>
        <cfvo type="formula" val="1"/>
        <cfvo type="formula" val="2"/>
        <color rgb="FFFFFFFF"/>
        <color rgb="FFFFFF00"/>
        <color rgb="FF00B050"/>
      </colorScale>
    </cfRule>
  </conditionalFormatting>
  <conditionalFormatting sqref="AD119">
    <cfRule type="colorScale" priority="603">
      <colorScale>
        <cfvo type="min"/>
        <cfvo type="formula" val="1"/>
        <color theme="0"/>
        <color rgb="FF92D050"/>
      </colorScale>
    </cfRule>
  </conditionalFormatting>
  <conditionalFormatting sqref="AD119">
    <cfRule type="colorScale" priority="604">
      <colorScale>
        <cfvo type="formula" val="0"/>
        <cfvo type="formula" val="1"/>
        <cfvo type="formula" val="2"/>
        <color rgb="FFFFFFFF"/>
        <color rgb="FFFFFF00"/>
        <color rgb="FF00B050"/>
      </colorScale>
    </cfRule>
  </conditionalFormatting>
  <conditionalFormatting sqref="AF119">
    <cfRule type="colorScale" priority="605">
      <colorScale>
        <cfvo type="min"/>
        <cfvo type="formula" val="1"/>
        <color theme="0"/>
        <color rgb="FF92D050"/>
      </colorScale>
    </cfRule>
  </conditionalFormatting>
  <conditionalFormatting sqref="AF119">
    <cfRule type="colorScale" priority="606">
      <colorScale>
        <cfvo type="formula" val="0"/>
        <cfvo type="formula" val="1"/>
        <cfvo type="formula" val="2"/>
        <color rgb="FFFFFFFF"/>
        <color rgb="FFFFFF00"/>
        <color rgb="FF00B050"/>
      </colorScale>
    </cfRule>
  </conditionalFormatting>
  <conditionalFormatting sqref="AH119">
    <cfRule type="colorScale" priority="607">
      <colorScale>
        <cfvo type="min"/>
        <cfvo type="formula" val="1"/>
        <color theme="0"/>
        <color rgb="FF92D050"/>
      </colorScale>
    </cfRule>
  </conditionalFormatting>
  <conditionalFormatting sqref="AH119">
    <cfRule type="colorScale" priority="608">
      <colorScale>
        <cfvo type="formula" val="0"/>
        <cfvo type="formula" val="1"/>
        <cfvo type="formula" val="2"/>
        <color rgb="FFFFFFFF"/>
        <color rgb="FFFFFF00"/>
        <color rgb="FF00B050"/>
      </colorScale>
    </cfRule>
  </conditionalFormatting>
  <conditionalFormatting sqref="AJ119">
    <cfRule type="colorScale" priority="609">
      <colorScale>
        <cfvo type="min"/>
        <cfvo type="formula" val="1"/>
        <color theme="0"/>
        <color rgb="FF92D050"/>
      </colorScale>
    </cfRule>
  </conditionalFormatting>
  <conditionalFormatting sqref="AJ119">
    <cfRule type="colorScale" priority="610">
      <colorScale>
        <cfvo type="formula" val="0"/>
        <cfvo type="formula" val="1"/>
        <cfvo type="formula" val="2"/>
        <color rgb="FFFFFFFF"/>
        <color rgb="FFFFFF00"/>
        <color rgb="FF00B050"/>
      </colorScale>
    </cfRule>
  </conditionalFormatting>
  <conditionalFormatting sqref="AL119">
    <cfRule type="colorScale" priority="611">
      <colorScale>
        <cfvo type="min"/>
        <cfvo type="formula" val="1"/>
        <color theme="0"/>
        <color rgb="FF92D050"/>
      </colorScale>
    </cfRule>
  </conditionalFormatting>
  <conditionalFormatting sqref="AL119">
    <cfRule type="colorScale" priority="612">
      <colorScale>
        <cfvo type="formula" val="0"/>
        <cfvo type="formula" val="1"/>
        <cfvo type="formula" val="2"/>
        <color rgb="FFFFFFFF"/>
        <color rgb="FFFFFF00"/>
        <color rgb="FF00B050"/>
      </colorScale>
    </cfRule>
  </conditionalFormatting>
  <conditionalFormatting sqref="AT16">
    <cfRule type="colorScale" priority="613">
      <colorScale>
        <cfvo type="min"/>
        <cfvo type="formula" val="1"/>
        <color theme="0"/>
        <color rgb="FF92D050"/>
      </colorScale>
    </cfRule>
  </conditionalFormatting>
  <conditionalFormatting sqref="AT16">
    <cfRule type="colorScale" priority="614">
      <colorScale>
        <cfvo type="formula" val="0"/>
        <cfvo type="formula" val="1"/>
        <cfvo type="formula" val="2"/>
        <color rgb="FFFFFFFF"/>
        <color rgb="FFFFFF00"/>
        <color rgb="FF00B050"/>
      </colorScale>
    </cfRule>
  </conditionalFormatting>
  <conditionalFormatting sqref="AV16">
    <cfRule type="colorScale" priority="615">
      <colorScale>
        <cfvo type="min"/>
        <cfvo type="formula" val="1"/>
        <color theme="0"/>
        <color rgb="FF92D050"/>
      </colorScale>
    </cfRule>
  </conditionalFormatting>
  <conditionalFormatting sqref="AV16">
    <cfRule type="colorScale" priority="616">
      <colorScale>
        <cfvo type="formula" val="0"/>
        <cfvo type="formula" val="1"/>
        <cfvo type="formula" val="2"/>
        <color rgb="FFFFFFFF"/>
        <color rgb="FFFFFF00"/>
        <color rgb="FF00B050"/>
      </colorScale>
    </cfRule>
  </conditionalFormatting>
  <conditionalFormatting sqref="AX16">
    <cfRule type="colorScale" priority="617">
      <colorScale>
        <cfvo type="min"/>
        <cfvo type="formula" val="1"/>
        <color theme="0"/>
        <color rgb="FF92D050"/>
      </colorScale>
    </cfRule>
  </conditionalFormatting>
  <conditionalFormatting sqref="AX16">
    <cfRule type="colorScale" priority="618">
      <colorScale>
        <cfvo type="formula" val="0"/>
        <cfvo type="formula" val="1"/>
        <cfvo type="formula" val="2"/>
        <color rgb="FFFFFFFF"/>
        <color rgb="FFFFFF00"/>
        <color rgb="FF00B050"/>
      </colorScale>
    </cfRule>
  </conditionalFormatting>
  <conditionalFormatting sqref="AZ16">
    <cfRule type="colorScale" priority="619">
      <colorScale>
        <cfvo type="min"/>
        <cfvo type="formula" val="1"/>
        <color theme="0"/>
        <color rgb="FF92D050"/>
      </colorScale>
    </cfRule>
  </conditionalFormatting>
  <conditionalFormatting sqref="AZ16">
    <cfRule type="colorScale" priority="620">
      <colorScale>
        <cfvo type="formula" val="0"/>
        <cfvo type="formula" val="1"/>
        <cfvo type="formula" val="2"/>
        <color rgb="FFFFFFFF"/>
        <color rgb="FFFFFF00"/>
        <color rgb="FF00B050"/>
      </colorScale>
    </cfRule>
  </conditionalFormatting>
  <conditionalFormatting sqref="BB16">
    <cfRule type="colorScale" priority="621">
      <colorScale>
        <cfvo type="min"/>
        <cfvo type="formula" val="1"/>
        <color theme="0"/>
        <color rgb="FF92D050"/>
      </colorScale>
    </cfRule>
  </conditionalFormatting>
  <conditionalFormatting sqref="BB16">
    <cfRule type="colorScale" priority="622">
      <colorScale>
        <cfvo type="formula" val="0"/>
        <cfvo type="formula" val="1"/>
        <cfvo type="formula" val="2"/>
        <color rgb="FFFFFFFF"/>
        <color rgb="FFFFFF00"/>
        <color rgb="FF00B050"/>
      </colorScale>
    </cfRule>
  </conditionalFormatting>
  <conditionalFormatting sqref="BD16">
    <cfRule type="colorScale" priority="623">
      <colorScale>
        <cfvo type="min"/>
        <cfvo type="formula" val="1"/>
        <color theme="0"/>
        <color rgb="FF92D050"/>
      </colorScale>
    </cfRule>
  </conditionalFormatting>
  <conditionalFormatting sqref="BD16">
    <cfRule type="colorScale" priority="624">
      <colorScale>
        <cfvo type="formula" val="0"/>
        <cfvo type="formula" val="1"/>
        <cfvo type="formula" val="2"/>
        <color rgb="FFFFFFFF"/>
        <color rgb="FFFFFF00"/>
        <color rgb="FF00B050"/>
      </colorScale>
    </cfRule>
  </conditionalFormatting>
  <conditionalFormatting sqref="BF16">
    <cfRule type="colorScale" priority="625">
      <colorScale>
        <cfvo type="min"/>
        <cfvo type="formula" val="1"/>
        <color theme="0"/>
        <color rgb="FF92D050"/>
      </colorScale>
    </cfRule>
  </conditionalFormatting>
  <conditionalFormatting sqref="BF16">
    <cfRule type="colorScale" priority="626">
      <colorScale>
        <cfvo type="formula" val="0"/>
        <cfvo type="formula" val="1"/>
        <cfvo type="formula" val="2"/>
        <color rgb="FFFFFFFF"/>
        <color rgb="FFFFFF00"/>
        <color rgb="FF00B050"/>
      </colorScale>
    </cfRule>
  </conditionalFormatting>
  <conditionalFormatting sqref="BH16">
    <cfRule type="colorScale" priority="627">
      <colorScale>
        <cfvo type="min"/>
        <cfvo type="formula" val="1"/>
        <color theme="0"/>
        <color rgb="FF92D050"/>
      </colorScale>
    </cfRule>
  </conditionalFormatting>
  <conditionalFormatting sqref="BH16">
    <cfRule type="colorScale" priority="628">
      <colorScale>
        <cfvo type="formula" val="0"/>
        <cfvo type="formula" val="1"/>
        <cfvo type="formula" val="2"/>
        <color rgb="FFFFFFFF"/>
        <color rgb="FFFFFF00"/>
        <color rgb="FF00B050"/>
      </colorScale>
    </cfRule>
  </conditionalFormatting>
  <conditionalFormatting sqref="BJ16">
    <cfRule type="colorScale" priority="629">
      <colorScale>
        <cfvo type="min"/>
        <cfvo type="formula" val="1"/>
        <color theme="0"/>
        <color rgb="FF92D050"/>
      </colorScale>
    </cfRule>
  </conditionalFormatting>
  <conditionalFormatting sqref="BJ16">
    <cfRule type="colorScale" priority="630">
      <colorScale>
        <cfvo type="formula" val="0"/>
        <cfvo type="formula" val="1"/>
        <cfvo type="formula" val="2"/>
        <color rgb="FFFFFFFF"/>
        <color rgb="FFFFFF00"/>
        <color rgb="FF00B050"/>
      </colorScale>
    </cfRule>
  </conditionalFormatting>
  <conditionalFormatting sqref="AY22 BA22 BC22 BE22">
    <cfRule type="colorScale" priority="631">
      <colorScale>
        <cfvo type="formula" val="0"/>
        <cfvo type="formula" val="1"/>
        <cfvo type="formula" val="2"/>
        <color rgb="FFFFFFFF"/>
        <color rgb="FFFFFF00"/>
        <color rgb="FF00B050"/>
      </colorScale>
    </cfRule>
  </conditionalFormatting>
  <conditionalFormatting sqref="AY22 BA22 BC22 BE22">
    <cfRule type="colorScale" priority="632">
      <colorScale>
        <cfvo type="min"/>
        <cfvo type="formula" val="1"/>
        <color theme="0"/>
        <color rgb="FF92D050"/>
      </colorScale>
    </cfRule>
  </conditionalFormatting>
  <conditionalFormatting sqref="BG22">
    <cfRule type="colorScale" priority="633">
      <colorScale>
        <cfvo type="formula" val="0"/>
        <cfvo type="formula" val="1"/>
        <cfvo type="formula" val="2"/>
        <color rgb="FFFFFFFF"/>
        <color rgb="FFFFFF00"/>
        <color rgb="FF00B050"/>
      </colorScale>
    </cfRule>
  </conditionalFormatting>
  <conditionalFormatting sqref="BG22">
    <cfRule type="colorScale" priority="634">
      <colorScale>
        <cfvo type="min"/>
        <cfvo type="formula" val="1"/>
        <color theme="0"/>
        <color rgb="FF92D050"/>
      </colorScale>
    </cfRule>
  </conditionalFormatting>
  <conditionalFormatting sqref="BI22">
    <cfRule type="colorScale" priority="635">
      <colorScale>
        <cfvo type="formula" val="0"/>
        <cfvo type="formula" val="1"/>
        <cfvo type="formula" val="2"/>
        <color rgb="FFFFFFFF"/>
        <color rgb="FFFFFF00"/>
        <color rgb="FF00B050"/>
      </colorScale>
    </cfRule>
  </conditionalFormatting>
  <conditionalFormatting sqref="BI22">
    <cfRule type="colorScale" priority="636">
      <colorScale>
        <cfvo type="min"/>
        <cfvo type="formula" val="1"/>
        <color theme="0"/>
        <color rgb="FF92D050"/>
      </colorScale>
    </cfRule>
  </conditionalFormatting>
  <conditionalFormatting sqref="AT22">
    <cfRule type="colorScale" priority="637">
      <colorScale>
        <cfvo type="min"/>
        <cfvo type="formula" val="1"/>
        <color theme="0"/>
        <color rgb="FF92D050"/>
      </colorScale>
    </cfRule>
  </conditionalFormatting>
  <conditionalFormatting sqref="AT22">
    <cfRule type="colorScale" priority="638">
      <colorScale>
        <cfvo type="formula" val="0"/>
        <cfvo type="formula" val="1"/>
        <cfvo type="formula" val="2"/>
        <color rgb="FFFFFFFF"/>
        <color rgb="FFFFFF00"/>
        <color rgb="FF00B050"/>
      </colorScale>
    </cfRule>
  </conditionalFormatting>
  <conditionalFormatting sqref="AV22">
    <cfRule type="colorScale" priority="639">
      <colorScale>
        <cfvo type="min"/>
        <cfvo type="formula" val="1"/>
        <color theme="0"/>
        <color rgb="FF92D050"/>
      </colorScale>
    </cfRule>
  </conditionalFormatting>
  <conditionalFormatting sqref="AV22">
    <cfRule type="colorScale" priority="640">
      <colorScale>
        <cfvo type="formula" val="0"/>
        <cfvo type="formula" val="1"/>
        <cfvo type="formula" val="2"/>
        <color rgb="FFFFFFFF"/>
        <color rgb="FFFFFF00"/>
        <color rgb="FF00B050"/>
      </colorScale>
    </cfRule>
  </conditionalFormatting>
  <conditionalFormatting sqref="AX22">
    <cfRule type="colorScale" priority="641">
      <colorScale>
        <cfvo type="min"/>
        <cfvo type="formula" val="1"/>
        <color theme="0"/>
        <color rgb="FF92D050"/>
      </colorScale>
    </cfRule>
  </conditionalFormatting>
  <conditionalFormatting sqref="AX22">
    <cfRule type="colorScale" priority="642">
      <colorScale>
        <cfvo type="formula" val="0"/>
        <cfvo type="formula" val="1"/>
        <cfvo type="formula" val="2"/>
        <color rgb="FFFFFFFF"/>
        <color rgb="FFFFFF00"/>
        <color rgb="FF00B050"/>
      </colorScale>
    </cfRule>
  </conditionalFormatting>
  <conditionalFormatting sqref="AZ22">
    <cfRule type="colorScale" priority="643">
      <colorScale>
        <cfvo type="min"/>
        <cfvo type="formula" val="1"/>
        <color theme="0"/>
        <color rgb="FF92D050"/>
      </colorScale>
    </cfRule>
  </conditionalFormatting>
  <conditionalFormatting sqref="AZ22">
    <cfRule type="colorScale" priority="644">
      <colorScale>
        <cfvo type="formula" val="0"/>
        <cfvo type="formula" val="1"/>
        <cfvo type="formula" val="2"/>
        <color rgb="FFFFFFFF"/>
        <color rgb="FFFFFF00"/>
        <color rgb="FF00B050"/>
      </colorScale>
    </cfRule>
  </conditionalFormatting>
  <conditionalFormatting sqref="BB22">
    <cfRule type="colorScale" priority="645">
      <colorScale>
        <cfvo type="min"/>
        <cfvo type="formula" val="1"/>
        <color theme="0"/>
        <color rgb="FF92D050"/>
      </colorScale>
    </cfRule>
  </conditionalFormatting>
  <conditionalFormatting sqref="BB22">
    <cfRule type="colorScale" priority="646">
      <colorScale>
        <cfvo type="formula" val="0"/>
        <cfvo type="formula" val="1"/>
        <cfvo type="formula" val="2"/>
        <color rgb="FFFFFFFF"/>
        <color rgb="FFFFFF00"/>
        <color rgb="FF00B050"/>
      </colorScale>
    </cfRule>
  </conditionalFormatting>
  <conditionalFormatting sqref="BD22">
    <cfRule type="colorScale" priority="647">
      <colorScale>
        <cfvo type="min"/>
        <cfvo type="formula" val="1"/>
        <color theme="0"/>
        <color rgb="FF92D050"/>
      </colorScale>
    </cfRule>
  </conditionalFormatting>
  <conditionalFormatting sqref="BD22">
    <cfRule type="colorScale" priority="648">
      <colorScale>
        <cfvo type="formula" val="0"/>
        <cfvo type="formula" val="1"/>
        <cfvo type="formula" val="2"/>
        <color rgb="FFFFFFFF"/>
        <color rgb="FFFFFF00"/>
        <color rgb="FF00B050"/>
      </colorScale>
    </cfRule>
  </conditionalFormatting>
  <conditionalFormatting sqref="BF22">
    <cfRule type="colorScale" priority="649">
      <colorScale>
        <cfvo type="min"/>
        <cfvo type="formula" val="1"/>
        <color theme="0"/>
        <color rgb="FF92D050"/>
      </colorScale>
    </cfRule>
  </conditionalFormatting>
  <conditionalFormatting sqref="BF22">
    <cfRule type="colorScale" priority="650">
      <colorScale>
        <cfvo type="formula" val="0"/>
        <cfvo type="formula" val="1"/>
        <cfvo type="formula" val="2"/>
        <color rgb="FFFFFFFF"/>
        <color rgb="FFFFFF00"/>
        <color rgb="FF00B050"/>
      </colorScale>
    </cfRule>
  </conditionalFormatting>
  <conditionalFormatting sqref="BH22">
    <cfRule type="colorScale" priority="651">
      <colorScale>
        <cfvo type="min"/>
        <cfvo type="formula" val="1"/>
        <color theme="0"/>
        <color rgb="FF92D050"/>
      </colorScale>
    </cfRule>
  </conditionalFormatting>
  <conditionalFormatting sqref="BH22">
    <cfRule type="colorScale" priority="652">
      <colorScale>
        <cfvo type="formula" val="0"/>
        <cfvo type="formula" val="1"/>
        <cfvo type="formula" val="2"/>
        <color rgb="FFFFFFFF"/>
        <color rgb="FFFFFF00"/>
        <color rgb="FF00B050"/>
      </colorScale>
    </cfRule>
  </conditionalFormatting>
  <conditionalFormatting sqref="BJ22">
    <cfRule type="colorScale" priority="653">
      <colorScale>
        <cfvo type="min"/>
        <cfvo type="formula" val="1"/>
        <color theme="0"/>
        <color rgb="FF92D050"/>
      </colorScale>
    </cfRule>
  </conditionalFormatting>
  <conditionalFormatting sqref="BJ22">
    <cfRule type="colorScale" priority="654">
      <colorScale>
        <cfvo type="formula" val="0"/>
        <cfvo type="formula" val="1"/>
        <cfvo type="formula" val="2"/>
        <color rgb="FFFFFFFF"/>
        <color rgb="FFFFFF00"/>
        <color rgb="FF00B050"/>
      </colorScale>
    </cfRule>
  </conditionalFormatting>
  <conditionalFormatting sqref="AY28 BA28 BC28 BE28">
    <cfRule type="colorScale" priority="655">
      <colorScale>
        <cfvo type="formula" val="0"/>
        <cfvo type="formula" val="1"/>
        <cfvo type="formula" val="2"/>
        <color rgb="FFFFFFFF"/>
        <color rgb="FFFFFF00"/>
        <color rgb="FF00B050"/>
      </colorScale>
    </cfRule>
  </conditionalFormatting>
  <conditionalFormatting sqref="AY28 BA28 BC28 BE28">
    <cfRule type="colorScale" priority="656">
      <colorScale>
        <cfvo type="min"/>
        <cfvo type="formula" val="1"/>
        <color theme="0"/>
        <color rgb="FF92D050"/>
      </colorScale>
    </cfRule>
  </conditionalFormatting>
  <conditionalFormatting sqref="BG28">
    <cfRule type="colorScale" priority="657">
      <colorScale>
        <cfvo type="formula" val="0"/>
        <cfvo type="formula" val="1"/>
        <cfvo type="formula" val="2"/>
        <color rgb="FFFFFFFF"/>
        <color rgb="FFFFFF00"/>
        <color rgb="FF00B050"/>
      </colorScale>
    </cfRule>
  </conditionalFormatting>
  <conditionalFormatting sqref="BG28">
    <cfRule type="colorScale" priority="658">
      <colorScale>
        <cfvo type="min"/>
        <cfvo type="formula" val="1"/>
        <color theme="0"/>
        <color rgb="FF92D050"/>
      </colorScale>
    </cfRule>
  </conditionalFormatting>
  <conditionalFormatting sqref="BI28">
    <cfRule type="colorScale" priority="659">
      <colorScale>
        <cfvo type="formula" val="0"/>
        <cfvo type="formula" val="1"/>
        <cfvo type="formula" val="2"/>
        <color rgb="FFFFFFFF"/>
        <color rgb="FFFFFF00"/>
        <color rgb="FF00B050"/>
      </colorScale>
    </cfRule>
  </conditionalFormatting>
  <conditionalFormatting sqref="BI28">
    <cfRule type="colorScale" priority="660">
      <colorScale>
        <cfvo type="min"/>
        <cfvo type="formula" val="1"/>
        <color theme="0"/>
        <color rgb="FF92D050"/>
      </colorScale>
    </cfRule>
  </conditionalFormatting>
  <conditionalFormatting sqref="AT28">
    <cfRule type="colorScale" priority="661">
      <colorScale>
        <cfvo type="min"/>
        <cfvo type="formula" val="1"/>
        <color theme="0"/>
        <color rgb="FF92D050"/>
      </colorScale>
    </cfRule>
  </conditionalFormatting>
  <conditionalFormatting sqref="AT28">
    <cfRule type="colorScale" priority="662">
      <colorScale>
        <cfvo type="formula" val="0"/>
        <cfvo type="formula" val="1"/>
        <cfvo type="formula" val="2"/>
        <color rgb="FFFFFFFF"/>
        <color rgb="FFFFFF00"/>
        <color rgb="FF00B050"/>
      </colorScale>
    </cfRule>
  </conditionalFormatting>
  <conditionalFormatting sqref="AV28">
    <cfRule type="colorScale" priority="663">
      <colorScale>
        <cfvo type="min"/>
        <cfvo type="formula" val="1"/>
        <color theme="0"/>
        <color rgb="FF92D050"/>
      </colorScale>
    </cfRule>
  </conditionalFormatting>
  <conditionalFormatting sqref="AV28">
    <cfRule type="colorScale" priority="664">
      <colorScale>
        <cfvo type="formula" val="0"/>
        <cfvo type="formula" val="1"/>
        <cfvo type="formula" val="2"/>
        <color rgb="FFFFFFFF"/>
        <color rgb="FFFFFF00"/>
        <color rgb="FF00B050"/>
      </colorScale>
    </cfRule>
  </conditionalFormatting>
  <conditionalFormatting sqref="AX28">
    <cfRule type="colorScale" priority="665">
      <colorScale>
        <cfvo type="min"/>
        <cfvo type="formula" val="1"/>
        <color theme="0"/>
        <color rgb="FF92D050"/>
      </colorScale>
    </cfRule>
  </conditionalFormatting>
  <conditionalFormatting sqref="AX28">
    <cfRule type="colorScale" priority="666">
      <colorScale>
        <cfvo type="formula" val="0"/>
        <cfvo type="formula" val="1"/>
        <cfvo type="formula" val="2"/>
        <color rgb="FFFFFFFF"/>
        <color rgb="FFFFFF00"/>
        <color rgb="FF00B050"/>
      </colorScale>
    </cfRule>
  </conditionalFormatting>
  <conditionalFormatting sqref="AZ28">
    <cfRule type="colorScale" priority="667">
      <colorScale>
        <cfvo type="min"/>
        <cfvo type="formula" val="1"/>
        <color theme="0"/>
        <color rgb="FF92D050"/>
      </colorScale>
    </cfRule>
  </conditionalFormatting>
  <conditionalFormatting sqref="AZ28">
    <cfRule type="colorScale" priority="668">
      <colorScale>
        <cfvo type="formula" val="0"/>
        <cfvo type="formula" val="1"/>
        <cfvo type="formula" val="2"/>
        <color rgb="FFFFFFFF"/>
        <color rgb="FFFFFF00"/>
        <color rgb="FF00B050"/>
      </colorScale>
    </cfRule>
  </conditionalFormatting>
  <conditionalFormatting sqref="BB28">
    <cfRule type="colorScale" priority="669">
      <colorScale>
        <cfvo type="min"/>
        <cfvo type="formula" val="1"/>
        <color theme="0"/>
        <color rgb="FF92D050"/>
      </colorScale>
    </cfRule>
  </conditionalFormatting>
  <conditionalFormatting sqref="BB28">
    <cfRule type="colorScale" priority="670">
      <colorScale>
        <cfvo type="formula" val="0"/>
        <cfvo type="formula" val="1"/>
        <cfvo type="formula" val="2"/>
        <color rgb="FFFFFFFF"/>
        <color rgb="FFFFFF00"/>
        <color rgb="FF00B050"/>
      </colorScale>
    </cfRule>
  </conditionalFormatting>
  <conditionalFormatting sqref="BD28">
    <cfRule type="colorScale" priority="671">
      <colorScale>
        <cfvo type="min"/>
        <cfvo type="formula" val="1"/>
        <color theme="0"/>
        <color rgb="FF92D050"/>
      </colorScale>
    </cfRule>
  </conditionalFormatting>
  <conditionalFormatting sqref="BD28">
    <cfRule type="colorScale" priority="672">
      <colorScale>
        <cfvo type="formula" val="0"/>
        <cfvo type="formula" val="1"/>
        <cfvo type="formula" val="2"/>
        <color rgb="FFFFFFFF"/>
        <color rgb="FFFFFF00"/>
        <color rgb="FF00B050"/>
      </colorScale>
    </cfRule>
  </conditionalFormatting>
  <conditionalFormatting sqref="BF28">
    <cfRule type="colorScale" priority="673">
      <colorScale>
        <cfvo type="min"/>
        <cfvo type="formula" val="1"/>
        <color theme="0"/>
        <color rgb="FF92D050"/>
      </colorScale>
    </cfRule>
  </conditionalFormatting>
  <conditionalFormatting sqref="BF28">
    <cfRule type="colorScale" priority="674">
      <colorScale>
        <cfvo type="formula" val="0"/>
        <cfvo type="formula" val="1"/>
        <cfvo type="formula" val="2"/>
        <color rgb="FFFFFFFF"/>
        <color rgb="FFFFFF00"/>
        <color rgb="FF00B050"/>
      </colorScale>
    </cfRule>
  </conditionalFormatting>
  <conditionalFormatting sqref="BH28">
    <cfRule type="colorScale" priority="675">
      <colorScale>
        <cfvo type="min"/>
        <cfvo type="formula" val="1"/>
        <color theme="0"/>
        <color rgb="FF92D050"/>
      </colorScale>
    </cfRule>
  </conditionalFormatting>
  <conditionalFormatting sqref="BH28">
    <cfRule type="colorScale" priority="676">
      <colorScale>
        <cfvo type="formula" val="0"/>
        <cfvo type="formula" val="1"/>
        <cfvo type="formula" val="2"/>
        <color rgb="FFFFFFFF"/>
        <color rgb="FFFFFF00"/>
        <color rgb="FF00B050"/>
      </colorScale>
    </cfRule>
  </conditionalFormatting>
  <conditionalFormatting sqref="BJ28">
    <cfRule type="colorScale" priority="677">
      <colorScale>
        <cfvo type="min"/>
        <cfvo type="formula" val="1"/>
        <color theme="0"/>
        <color rgb="FF92D050"/>
      </colorScale>
    </cfRule>
  </conditionalFormatting>
  <conditionalFormatting sqref="BJ28">
    <cfRule type="colorScale" priority="678">
      <colorScale>
        <cfvo type="formula" val="0"/>
        <cfvo type="formula" val="1"/>
        <cfvo type="formula" val="2"/>
        <color rgb="FFFFFFFF"/>
        <color rgb="FFFFFF00"/>
        <color rgb="FF00B050"/>
      </colorScale>
    </cfRule>
  </conditionalFormatting>
  <conditionalFormatting sqref="AY34 BA34 BC34 BE34">
    <cfRule type="colorScale" priority="679">
      <colorScale>
        <cfvo type="formula" val="0"/>
        <cfvo type="formula" val="1"/>
        <cfvo type="formula" val="2"/>
        <color rgb="FFFFFFFF"/>
        <color rgb="FFFFFF00"/>
        <color rgb="FF00B050"/>
      </colorScale>
    </cfRule>
  </conditionalFormatting>
  <conditionalFormatting sqref="AY34 BA34 BC34 BE34">
    <cfRule type="colorScale" priority="680">
      <colorScale>
        <cfvo type="min"/>
        <cfvo type="formula" val="1"/>
        <color theme="0"/>
        <color rgb="FF92D050"/>
      </colorScale>
    </cfRule>
  </conditionalFormatting>
  <conditionalFormatting sqref="BG34">
    <cfRule type="colorScale" priority="681">
      <colorScale>
        <cfvo type="formula" val="0"/>
        <cfvo type="formula" val="1"/>
        <cfvo type="formula" val="2"/>
        <color rgb="FFFFFFFF"/>
        <color rgb="FFFFFF00"/>
        <color rgb="FF00B050"/>
      </colorScale>
    </cfRule>
  </conditionalFormatting>
  <conditionalFormatting sqref="BG34">
    <cfRule type="colorScale" priority="682">
      <colorScale>
        <cfvo type="min"/>
        <cfvo type="formula" val="1"/>
        <color theme="0"/>
        <color rgb="FF92D050"/>
      </colorScale>
    </cfRule>
  </conditionalFormatting>
  <conditionalFormatting sqref="BI34">
    <cfRule type="colorScale" priority="683">
      <colorScale>
        <cfvo type="formula" val="0"/>
        <cfvo type="formula" val="1"/>
        <cfvo type="formula" val="2"/>
        <color rgb="FFFFFFFF"/>
        <color rgb="FFFFFF00"/>
        <color rgb="FF00B050"/>
      </colorScale>
    </cfRule>
  </conditionalFormatting>
  <conditionalFormatting sqref="BI34">
    <cfRule type="colorScale" priority="684">
      <colorScale>
        <cfvo type="min"/>
        <cfvo type="formula" val="1"/>
        <color theme="0"/>
        <color rgb="FF92D050"/>
      </colorScale>
    </cfRule>
  </conditionalFormatting>
  <conditionalFormatting sqref="AT34">
    <cfRule type="colorScale" priority="685">
      <colorScale>
        <cfvo type="min"/>
        <cfvo type="formula" val="1"/>
        <color theme="0"/>
        <color rgb="FF92D050"/>
      </colorScale>
    </cfRule>
  </conditionalFormatting>
  <conditionalFormatting sqref="AT34">
    <cfRule type="colorScale" priority="686">
      <colorScale>
        <cfvo type="formula" val="0"/>
        <cfvo type="formula" val="1"/>
        <cfvo type="formula" val="2"/>
        <color rgb="FFFFFFFF"/>
        <color rgb="FFFFFF00"/>
        <color rgb="FF00B050"/>
      </colorScale>
    </cfRule>
  </conditionalFormatting>
  <conditionalFormatting sqref="AV34">
    <cfRule type="colorScale" priority="687">
      <colorScale>
        <cfvo type="min"/>
        <cfvo type="formula" val="1"/>
        <color theme="0"/>
        <color rgb="FF92D050"/>
      </colorScale>
    </cfRule>
  </conditionalFormatting>
  <conditionalFormatting sqref="AV34">
    <cfRule type="colorScale" priority="688">
      <colorScale>
        <cfvo type="formula" val="0"/>
        <cfvo type="formula" val="1"/>
        <cfvo type="formula" val="2"/>
        <color rgb="FFFFFFFF"/>
        <color rgb="FFFFFF00"/>
        <color rgb="FF00B050"/>
      </colorScale>
    </cfRule>
  </conditionalFormatting>
  <conditionalFormatting sqref="AX34">
    <cfRule type="colorScale" priority="689">
      <colorScale>
        <cfvo type="min"/>
        <cfvo type="formula" val="1"/>
        <color theme="0"/>
        <color rgb="FF92D050"/>
      </colorScale>
    </cfRule>
  </conditionalFormatting>
  <conditionalFormatting sqref="AX34">
    <cfRule type="colorScale" priority="690">
      <colorScale>
        <cfvo type="formula" val="0"/>
        <cfvo type="formula" val="1"/>
        <cfvo type="formula" val="2"/>
        <color rgb="FFFFFFFF"/>
        <color rgb="FFFFFF00"/>
        <color rgb="FF00B050"/>
      </colorScale>
    </cfRule>
  </conditionalFormatting>
  <conditionalFormatting sqref="AZ34">
    <cfRule type="colorScale" priority="691">
      <colorScale>
        <cfvo type="min"/>
        <cfvo type="formula" val="1"/>
        <color theme="0"/>
        <color rgb="FF92D050"/>
      </colorScale>
    </cfRule>
  </conditionalFormatting>
  <conditionalFormatting sqref="AZ34">
    <cfRule type="colorScale" priority="692">
      <colorScale>
        <cfvo type="formula" val="0"/>
        <cfvo type="formula" val="1"/>
        <cfvo type="formula" val="2"/>
        <color rgb="FFFFFFFF"/>
        <color rgb="FFFFFF00"/>
        <color rgb="FF00B050"/>
      </colorScale>
    </cfRule>
  </conditionalFormatting>
  <conditionalFormatting sqref="BB34">
    <cfRule type="colorScale" priority="693">
      <colorScale>
        <cfvo type="min"/>
        <cfvo type="formula" val="1"/>
        <color theme="0"/>
        <color rgb="FF92D050"/>
      </colorScale>
    </cfRule>
  </conditionalFormatting>
  <conditionalFormatting sqref="BB34">
    <cfRule type="colorScale" priority="694">
      <colorScale>
        <cfvo type="formula" val="0"/>
        <cfvo type="formula" val="1"/>
        <cfvo type="formula" val="2"/>
        <color rgb="FFFFFFFF"/>
        <color rgb="FFFFFF00"/>
        <color rgb="FF00B050"/>
      </colorScale>
    </cfRule>
  </conditionalFormatting>
  <conditionalFormatting sqref="BD34">
    <cfRule type="colorScale" priority="695">
      <colorScale>
        <cfvo type="min"/>
        <cfvo type="formula" val="1"/>
        <color theme="0"/>
        <color rgb="FF92D050"/>
      </colorScale>
    </cfRule>
  </conditionalFormatting>
  <conditionalFormatting sqref="BD34">
    <cfRule type="colorScale" priority="696">
      <colorScale>
        <cfvo type="formula" val="0"/>
        <cfvo type="formula" val="1"/>
        <cfvo type="formula" val="2"/>
        <color rgb="FFFFFFFF"/>
        <color rgb="FFFFFF00"/>
        <color rgb="FF00B050"/>
      </colorScale>
    </cfRule>
  </conditionalFormatting>
  <conditionalFormatting sqref="BF34">
    <cfRule type="colorScale" priority="697">
      <colorScale>
        <cfvo type="min"/>
        <cfvo type="formula" val="1"/>
        <color theme="0"/>
        <color rgb="FF92D050"/>
      </colorScale>
    </cfRule>
  </conditionalFormatting>
  <conditionalFormatting sqref="BF34">
    <cfRule type="colorScale" priority="698">
      <colorScale>
        <cfvo type="formula" val="0"/>
        <cfvo type="formula" val="1"/>
        <cfvo type="formula" val="2"/>
        <color rgb="FFFFFFFF"/>
        <color rgb="FFFFFF00"/>
        <color rgb="FF00B050"/>
      </colorScale>
    </cfRule>
  </conditionalFormatting>
  <conditionalFormatting sqref="BH34">
    <cfRule type="colorScale" priority="699">
      <colorScale>
        <cfvo type="min"/>
        <cfvo type="formula" val="1"/>
        <color theme="0"/>
        <color rgb="FF92D050"/>
      </colorScale>
    </cfRule>
  </conditionalFormatting>
  <conditionalFormatting sqref="BH34">
    <cfRule type="colorScale" priority="700">
      <colorScale>
        <cfvo type="formula" val="0"/>
        <cfvo type="formula" val="1"/>
        <cfvo type="formula" val="2"/>
        <color rgb="FFFFFFFF"/>
        <color rgb="FFFFFF00"/>
        <color rgb="FF00B050"/>
      </colorScale>
    </cfRule>
  </conditionalFormatting>
  <conditionalFormatting sqref="BJ34">
    <cfRule type="colorScale" priority="701">
      <colorScale>
        <cfvo type="min"/>
        <cfvo type="formula" val="1"/>
        <color theme="0"/>
        <color rgb="FF92D050"/>
      </colorScale>
    </cfRule>
  </conditionalFormatting>
  <conditionalFormatting sqref="BJ34">
    <cfRule type="colorScale" priority="702">
      <colorScale>
        <cfvo type="formula" val="0"/>
        <cfvo type="formula" val="1"/>
        <cfvo type="formula" val="2"/>
        <color rgb="FFFFFFFF"/>
        <color rgb="FFFFFF00"/>
        <color rgb="FF00B050"/>
      </colorScale>
    </cfRule>
  </conditionalFormatting>
  <conditionalFormatting sqref="AY41 BA41 BC41 BE41">
    <cfRule type="colorScale" priority="703">
      <colorScale>
        <cfvo type="formula" val="0"/>
        <cfvo type="formula" val="1"/>
        <cfvo type="formula" val="2"/>
        <color rgb="FFFFFFFF"/>
        <color rgb="FFFFFF00"/>
        <color rgb="FF00B050"/>
      </colorScale>
    </cfRule>
  </conditionalFormatting>
  <conditionalFormatting sqref="AY41 BA41 BC41 BE41">
    <cfRule type="colorScale" priority="704">
      <colorScale>
        <cfvo type="min"/>
        <cfvo type="formula" val="1"/>
        <color theme="0"/>
        <color rgb="FF92D050"/>
      </colorScale>
    </cfRule>
  </conditionalFormatting>
  <conditionalFormatting sqref="BG41">
    <cfRule type="colorScale" priority="705">
      <colorScale>
        <cfvo type="formula" val="0"/>
        <cfvo type="formula" val="1"/>
        <cfvo type="formula" val="2"/>
        <color rgb="FFFFFFFF"/>
        <color rgb="FFFFFF00"/>
        <color rgb="FF00B050"/>
      </colorScale>
    </cfRule>
  </conditionalFormatting>
  <conditionalFormatting sqref="BG41">
    <cfRule type="colorScale" priority="706">
      <colorScale>
        <cfvo type="min"/>
        <cfvo type="formula" val="1"/>
        <color theme="0"/>
        <color rgb="FF92D050"/>
      </colorScale>
    </cfRule>
  </conditionalFormatting>
  <conditionalFormatting sqref="BI41">
    <cfRule type="colorScale" priority="707">
      <colorScale>
        <cfvo type="formula" val="0"/>
        <cfvo type="formula" val="1"/>
        <cfvo type="formula" val="2"/>
        <color rgb="FFFFFFFF"/>
        <color rgb="FFFFFF00"/>
        <color rgb="FF00B050"/>
      </colorScale>
    </cfRule>
  </conditionalFormatting>
  <conditionalFormatting sqref="BI41">
    <cfRule type="colorScale" priority="708">
      <colorScale>
        <cfvo type="min"/>
        <cfvo type="formula" val="1"/>
        <color theme="0"/>
        <color rgb="FF92D050"/>
      </colorScale>
    </cfRule>
  </conditionalFormatting>
  <conditionalFormatting sqref="AT41:BH41">
    <cfRule type="colorScale" priority="709">
      <colorScale>
        <cfvo type="formula" val="0"/>
        <cfvo type="formula" val="1"/>
        <cfvo type="formula" val="2"/>
        <color rgb="FFFFFFFF"/>
        <color rgb="FFFFFF00"/>
        <color rgb="FF00B050"/>
      </colorScale>
    </cfRule>
  </conditionalFormatting>
  <conditionalFormatting sqref="AX41">
    <cfRule type="colorScale" priority="710">
      <colorScale>
        <cfvo type="formula" val="0"/>
        <cfvo type="formula" val="1"/>
        <cfvo type="formula" val="2"/>
        <color rgb="FFFFFFFF"/>
        <color rgb="FFFFFF00"/>
        <color rgb="FF00B050"/>
      </colorScale>
    </cfRule>
  </conditionalFormatting>
  <conditionalFormatting sqref="AX41">
    <cfRule type="colorScale" priority="711">
      <colorScale>
        <cfvo type="min"/>
        <cfvo type="formula" val="1"/>
        <color theme="0"/>
        <color rgb="FF92D050"/>
      </colorScale>
    </cfRule>
  </conditionalFormatting>
  <conditionalFormatting sqref="AZ41">
    <cfRule type="colorScale" priority="712">
      <colorScale>
        <cfvo type="min"/>
        <cfvo type="formula" val="1"/>
        <color theme="0"/>
        <color rgb="FF92D050"/>
      </colorScale>
    </cfRule>
  </conditionalFormatting>
  <conditionalFormatting sqref="AZ41">
    <cfRule type="colorScale" priority="713">
      <colorScale>
        <cfvo type="formula" val="0"/>
        <cfvo type="formula" val="1"/>
        <cfvo type="formula" val="2"/>
        <color rgb="FFFFFFFF"/>
        <color rgb="FFFFFF00"/>
        <color rgb="FF00B050"/>
      </colorScale>
    </cfRule>
  </conditionalFormatting>
  <conditionalFormatting sqref="BB41">
    <cfRule type="colorScale" priority="714">
      <colorScale>
        <cfvo type="min"/>
        <cfvo type="formula" val="1"/>
        <color theme="0"/>
        <color rgb="FF92D050"/>
      </colorScale>
    </cfRule>
  </conditionalFormatting>
  <conditionalFormatting sqref="BB41">
    <cfRule type="colorScale" priority="715">
      <colorScale>
        <cfvo type="formula" val="0"/>
        <cfvo type="formula" val="1"/>
        <cfvo type="formula" val="2"/>
        <color rgb="FFFFFFFF"/>
        <color rgb="FFFFFF00"/>
        <color rgb="FF00B050"/>
      </colorScale>
    </cfRule>
  </conditionalFormatting>
  <conditionalFormatting sqref="BD41">
    <cfRule type="colorScale" priority="716">
      <colorScale>
        <cfvo type="min"/>
        <cfvo type="formula" val="1"/>
        <color theme="0"/>
        <color rgb="FF92D050"/>
      </colorScale>
    </cfRule>
  </conditionalFormatting>
  <conditionalFormatting sqref="BD41">
    <cfRule type="colorScale" priority="717">
      <colorScale>
        <cfvo type="formula" val="0"/>
        <cfvo type="formula" val="1"/>
        <cfvo type="formula" val="2"/>
        <color rgb="FFFFFFFF"/>
        <color rgb="FFFFFF00"/>
        <color rgb="FF00B050"/>
      </colorScale>
    </cfRule>
  </conditionalFormatting>
  <conditionalFormatting sqref="BF41">
    <cfRule type="colorScale" priority="718">
      <colorScale>
        <cfvo type="min"/>
        <cfvo type="formula" val="1"/>
        <color theme="0"/>
        <color rgb="FF92D050"/>
      </colorScale>
    </cfRule>
  </conditionalFormatting>
  <conditionalFormatting sqref="BF41">
    <cfRule type="colorScale" priority="719">
      <colorScale>
        <cfvo type="formula" val="0"/>
        <cfvo type="formula" val="1"/>
        <cfvo type="formula" val="2"/>
        <color rgb="FFFFFFFF"/>
        <color rgb="FFFFFF00"/>
        <color rgb="FF00B050"/>
      </colorScale>
    </cfRule>
  </conditionalFormatting>
  <conditionalFormatting sqref="BH41">
    <cfRule type="colorScale" priority="720">
      <colorScale>
        <cfvo type="min"/>
        <cfvo type="formula" val="1"/>
        <color theme="0"/>
        <color rgb="FF92D050"/>
      </colorScale>
    </cfRule>
  </conditionalFormatting>
  <conditionalFormatting sqref="BH41">
    <cfRule type="colorScale" priority="721">
      <colorScale>
        <cfvo type="formula" val="0"/>
        <cfvo type="formula" val="1"/>
        <cfvo type="formula" val="2"/>
        <color rgb="FFFFFFFF"/>
        <color rgb="FFFFFF00"/>
        <color rgb="FF00B050"/>
      </colorScale>
    </cfRule>
  </conditionalFormatting>
  <conditionalFormatting sqref="BJ41">
    <cfRule type="colorScale" priority="722">
      <colorScale>
        <cfvo type="min"/>
        <cfvo type="formula" val="1"/>
        <color theme="0"/>
        <color rgb="FF92D050"/>
      </colorScale>
    </cfRule>
  </conditionalFormatting>
  <conditionalFormatting sqref="BJ41">
    <cfRule type="colorScale" priority="723">
      <colorScale>
        <cfvo type="formula" val="0"/>
        <cfvo type="formula" val="1"/>
        <cfvo type="formula" val="2"/>
        <color rgb="FFFFFFFF"/>
        <color rgb="FFFFFF00"/>
        <color rgb="FF00B050"/>
      </colorScale>
    </cfRule>
  </conditionalFormatting>
  <conditionalFormatting sqref="AY47 BA47 BC47 BE47">
    <cfRule type="colorScale" priority="724">
      <colorScale>
        <cfvo type="formula" val="0"/>
        <cfvo type="formula" val="1"/>
        <cfvo type="formula" val="2"/>
        <color rgb="FFFFFFFF"/>
        <color rgb="FFFFFF00"/>
        <color rgb="FF00B050"/>
      </colorScale>
    </cfRule>
  </conditionalFormatting>
  <conditionalFormatting sqref="AY47 BA47 BC47 BE47">
    <cfRule type="colorScale" priority="725">
      <colorScale>
        <cfvo type="min"/>
        <cfvo type="formula" val="1"/>
        <color theme="0"/>
        <color rgb="FF92D050"/>
      </colorScale>
    </cfRule>
  </conditionalFormatting>
  <conditionalFormatting sqref="BG47">
    <cfRule type="colorScale" priority="726">
      <colorScale>
        <cfvo type="formula" val="0"/>
        <cfvo type="formula" val="1"/>
        <cfvo type="formula" val="2"/>
        <color rgb="FFFFFFFF"/>
        <color rgb="FFFFFF00"/>
        <color rgb="FF00B050"/>
      </colorScale>
    </cfRule>
  </conditionalFormatting>
  <conditionalFormatting sqref="BG47">
    <cfRule type="colorScale" priority="727">
      <colorScale>
        <cfvo type="min"/>
        <cfvo type="formula" val="1"/>
        <color theme="0"/>
        <color rgb="FF92D050"/>
      </colorScale>
    </cfRule>
  </conditionalFormatting>
  <conditionalFormatting sqref="BI47">
    <cfRule type="colorScale" priority="728">
      <colorScale>
        <cfvo type="formula" val="0"/>
        <cfvo type="formula" val="1"/>
        <cfvo type="formula" val="2"/>
        <color rgb="FFFFFFFF"/>
        <color rgb="FFFFFF00"/>
        <color rgb="FF00B050"/>
      </colorScale>
    </cfRule>
  </conditionalFormatting>
  <conditionalFormatting sqref="BI47">
    <cfRule type="colorScale" priority="729">
      <colorScale>
        <cfvo type="min"/>
        <cfvo type="formula" val="1"/>
        <color theme="0"/>
        <color rgb="FF92D050"/>
      </colorScale>
    </cfRule>
  </conditionalFormatting>
  <conditionalFormatting sqref="AN47:BH47">
    <cfRule type="colorScale" priority="730">
      <colorScale>
        <cfvo type="formula" val="0"/>
        <cfvo type="formula" val="1"/>
        <cfvo type="formula" val="2"/>
        <color rgb="FFFFFFFF"/>
        <color rgb="FFFFFF00"/>
        <color rgb="FF00B050"/>
      </colorScale>
    </cfRule>
  </conditionalFormatting>
  <conditionalFormatting sqref="AT47">
    <cfRule type="colorScale" priority="731">
      <colorScale>
        <cfvo type="min"/>
        <cfvo type="formula" val="1"/>
        <color theme="0"/>
        <color rgb="FF92D050"/>
      </colorScale>
    </cfRule>
  </conditionalFormatting>
  <conditionalFormatting sqref="AT47">
    <cfRule type="colorScale" priority="732">
      <colorScale>
        <cfvo type="formula" val="0"/>
        <cfvo type="formula" val="1"/>
        <cfvo type="formula" val="2"/>
        <color rgb="FFFFFFFF"/>
        <color rgb="FFFFFF00"/>
        <color rgb="FF00B050"/>
      </colorScale>
    </cfRule>
  </conditionalFormatting>
  <conditionalFormatting sqref="AV47">
    <cfRule type="colorScale" priority="733">
      <colorScale>
        <cfvo type="min"/>
        <cfvo type="formula" val="1"/>
        <color theme="0"/>
        <color rgb="FF92D050"/>
      </colorScale>
    </cfRule>
  </conditionalFormatting>
  <conditionalFormatting sqref="AV47">
    <cfRule type="colorScale" priority="734">
      <colorScale>
        <cfvo type="formula" val="0"/>
        <cfvo type="formula" val="1"/>
        <cfvo type="formula" val="2"/>
        <color rgb="FFFFFFFF"/>
        <color rgb="FFFFFF00"/>
        <color rgb="FF00B050"/>
      </colorScale>
    </cfRule>
  </conditionalFormatting>
  <conditionalFormatting sqref="AX47">
    <cfRule type="colorScale" priority="735">
      <colorScale>
        <cfvo type="min"/>
        <cfvo type="formula" val="1"/>
        <color theme="0"/>
        <color rgb="FF92D050"/>
      </colorScale>
    </cfRule>
  </conditionalFormatting>
  <conditionalFormatting sqref="AX47">
    <cfRule type="colorScale" priority="736">
      <colorScale>
        <cfvo type="formula" val="0"/>
        <cfvo type="formula" val="1"/>
        <cfvo type="formula" val="2"/>
        <color rgb="FFFFFFFF"/>
        <color rgb="FFFFFF00"/>
        <color rgb="FF00B050"/>
      </colorScale>
    </cfRule>
  </conditionalFormatting>
  <conditionalFormatting sqref="AZ47">
    <cfRule type="colorScale" priority="737">
      <colorScale>
        <cfvo type="min"/>
        <cfvo type="formula" val="1"/>
        <color theme="0"/>
        <color rgb="FF92D050"/>
      </colorScale>
    </cfRule>
  </conditionalFormatting>
  <conditionalFormatting sqref="AZ47">
    <cfRule type="colorScale" priority="738">
      <colorScale>
        <cfvo type="formula" val="0"/>
        <cfvo type="formula" val="1"/>
        <cfvo type="formula" val="2"/>
        <color rgb="FFFFFFFF"/>
        <color rgb="FFFFFF00"/>
        <color rgb="FF00B050"/>
      </colorScale>
    </cfRule>
  </conditionalFormatting>
  <conditionalFormatting sqref="BB47">
    <cfRule type="colorScale" priority="739">
      <colorScale>
        <cfvo type="min"/>
        <cfvo type="formula" val="1"/>
        <color theme="0"/>
        <color rgb="FF92D050"/>
      </colorScale>
    </cfRule>
  </conditionalFormatting>
  <conditionalFormatting sqref="BB47">
    <cfRule type="colorScale" priority="740">
      <colorScale>
        <cfvo type="formula" val="0"/>
        <cfvo type="formula" val="1"/>
        <cfvo type="formula" val="2"/>
        <color rgb="FFFFFFFF"/>
        <color rgb="FFFFFF00"/>
        <color rgb="FF00B050"/>
      </colorScale>
    </cfRule>
  </conditionalFormatting>
  <conditionalFormatting sqref="BD47">
    <cfRule type="colorScale" priority="741">
      <colorScale>
        <cfvo type="min"/>
        <cfvo type="formula" val="1"/>
        <color theme="0"/>
        <color rgb="FF92D050"/>
      </colorScale>
    </cfRule>
  </conditionalFormatting>
  <conditionalFormatting sqref="BD47">
    <cfRule type="colorScale" priority="742">
      <colorScale>
        <cfvo type="formula" val="0"/>
        <cfvo type="formula" val="1"/>
        <cfvo type="formula" val="2"/>
        <color rgb="FFFFFFFF"/>
        <color rgb="FFFFFF00"/>
        <color rgb="FF00B050"/>
      </colorScale>
    </cfRule>
  </conditionalFormatting>
  <conditionalFormatting sqref="BF47">
    <cfRule type="colorScale" priority="743">
      <colorScale>
        <cfvo type="min"/>
        <cfvo type="formula" val="1"/>
        <color theme="0"/>
        <color rgb="FF92D050"/>
      </colorScale>
    </cfRule>
  </conditionalFormatting>
  <conditionalFormatting sqref="BF47">
    <cfRule type="colorScale" priority="744">
      <colorScale>
        <cfvo type="formula" val="0"/>
        <cfvo type="formula" val="1"/>
        <cfvo type="formula" val="2"/>
        <color rgb="FFFFFFFF"/>
        <color rgb="FFFFFF00"/>
        <color rgb="FF00B050"/>
      </colorScale>
    </cfRule>
  </conditionalFormatting>
  <conditionalFormatting sqref="BH47">
    <cfRule type="colorScale" priority="745">
      <colorScale>
        <cfvo type="min"/>
        <cfvo type="formula" val="1"/>
        <color theme="0"/>
        <color rgb="FF92D050"/>
      </colorScale>
    </cfRule>
  </conditionalFormatting>
  <conditionalFormatting sqref="BH47">
    <cfRule type="colorScale" priority="746">
      <colorScale>
        <cfvo type="formula" val="0"/>
        <cfvo type="formula" val="1"/>
        <cfvo type="formula" val="2"/>
        <color rgb="FFFFFFFF"/>
        <color rgb="FFFFFF00"/>
        <color rgb="FF00B050"/>
      </colorScale>
    </cfRule>
  </conditionalFormatting>
  <conditionalFormatting sqref="BJ47">
    <cfRule type="colorScale" priority="747">
      <colorScale>
        <cfvo type="min"/>
        <cfvo type="formula" val="1"/>
        <color theme="0"/>
        <color rgb="FF92D050"/>
      </colorScale>
    </cfRule>
  </conditionalFormatting>
  <conditionalFormatting sqref="BJ47">
    <cfRule type="colorScale" priority="748">
      <colorScale>
        <cfvo type="formula" val="0"/>
        <cfvo type="formula" val="1"/>
        <cfvo type="formula" val="2"/>
        <color rgb="FFFFFFFF"/>
        <color rgb="FFFFFF00"/>
        <color rgb="FF00B050"/>
      </colorScale>
    </cfRule>
  </conditionalFormatting>
  <conditionalFormatting sqref="AY53 BA53 BC53 BE53">
    <cfRule type="colorScale" priority="749">
      <colorScale>
        <cfvo type="formula" val="0"/>
        <cfvo type="formula" val="1"/>
        <cfvo type="formula" val="2"/>
        <color rgb="FFFFFFFF"/>
        <color rgb="FFFFFF00"/>
        <color rgb="FF00B050"/>
      </colorScale>
    </cfRule>
  </conditionalFormatting>
  <conditionalFormatting sqref="AY53 BA53 BC53 BE53">
    <cfRule type="colorScale" priority="750">
      <colorScale>
        <cfvo type="min"/>
        <cfvo type="formula" val="1"/>
        <color theme="0"/>
        <color rgb="FF92D050"/>
      </colorScale>
    </cfRule>
  </conditionalFormatting>
  <conditionalFormatting sqref="BG53">
    <cfRule type="colorScale" priority="751">
      <colorScale>
        <cfvo type="formula" val="0"/>
        <cfvo type="formula" val="1"/>
        <cfvo type="formula" val="2"/>
        <color rgb="FFFFFFFF"/>
        <color rgb="FFFFFF00"/>
        <color rgb="FF00B050"/>
      </colorScale>
    </cfRule>
  </conditionalFormatting>
  <conditionalFormatting sqref="BG53">
    <cfRule type="colorScale" priority="752">
      <colorScale>
        <cfvo type="min"/>
        <cfvo type="formula" val="1"/>
        <color theme="0"/>
        <color rgb="FF92D050"/>
      </colorScale>
    </cfRule>
  </conditionalFormatting>
  <conditionalFormatting sqref="BI53">
    <cfRule type="colorScale" priority="753">
      <colorScale>
        <cfvo type="formula" val="0"/>
        <cfvo type="formula" val="1"/>
        <cfvo type="formula" val="2"/>
        <color rgb="FFFFFFFF"/>
        <color rgb="FFFFFF00"/>
        <color rgb="FF00B050"/>
      </colorScale>
    </cfRule>
  </conditionalFormatting>
  <conditionalFormatting sqref="BI53">
    <cfRule type="colorScale" priority="754">
      <colorScale>
        <cfvo type="min"/>
        <cfvo type="formula" val="1"/>
        <color theme="0"/>
        <color rgb="FF92D050"/>
      </colorScale>
    </cfRule>
  </conditionalFormatting>
  <conditionalFormatting sqref="AN53:BH53">
    <cfRule type="colorScale" priority="755">
      <colorScale>
        <cfvo type="formula" val="0"/>
        <cfvo type="formula" val="1"/>
        <cfvo type="formula" val="2"/>
        <color rgb="FFFFFFFF"/>
        <color rgb="FFFFFF00"/>
        <color rgb="FF00B050"/>
      </colorScale>
    </cfRule>
  </conditionalFormatting>
  <conditionalFormatting sqref="AT53">
    <cfRule type="colorScale" priority="756">
      <colorScale>
        <cfvo type="min"/>
        <cfvo type="formula" val="1"/>
        <color theme="0"/>
        <color rgb="FF92D050"/>
      </colorScale>
    </cfRule>
  </conditionalFormatting>
  <conditionalFormatting sqref="AT53">
    <cfRule type="colorScale" priority="757">
      <colorScale>
        <cfvo type="formula" val="0"/>
        <cfvo type="formula" val="1"/>
        <cfvo type="formula" val="2"/>
        <color rgb="FFFFFFFF"/>
        <color rgb="FFFFFF00"/>
        <color rgb="FF00B050"/>
      </colorScale>
    </cfRule>
  </conditionalFormatting>
  <conditionalFormatting sqref="AV53">
    <cfRule type="colorScale" priority="758">
      <colorScale>
        <cfvo type="min"/>
        <cfvo type="formula" val="1"/>
        <color theme="0"/>
        <color rgb="FF92D050"/>
      </colorScale>
    </cfRule>
  </conditionalFormatting>
  <conditionalFormatting sqref="AV53">
    <cfRule type="colorScale" priority="759">
      <colorScale>
        <cfvo type="formula" val="0"/>
        <cfvo type="formula" val="1"/>
        <cfvo type="formula" val="2"/>
        <color rgb="FFFFFFFF"/>
        <color rgb="FFFFFF00"/>
        <color rgb="FF00B050"/>
      </colorScale>
    </cfRule>
  </conditionalFormatting>
  <conditionalFormatting sqref="AX53">
    <cfRule type="colorScale" priority="760">
      <colorScale>
        <cfvo type="min"/>
        <cfvo type="formula" val="1"/>
        <color theme="0"/>
        <color rgb="FF92D050"/>
      </colorScale>
    </cfRule>
  </conditionalFormatting>
  <conditionalFormatting sqref="AX53">
    <cfRule type="colorScale" priority="761">
      <colorScale>
        <cfvo type="formula" val="0"/>
        <cfvo type="formula" val="1"/>
        <cfvo type="formula" val="2"/>
        <color rgb="FFFFFFFF"/>
        <color rgb="FFFFFF00"/>
        <color rgb="FF00B050"/>
      </colorScale>
    </cfRule>
  </conditionalFormatting>
  <conditionalFormatting sqref="AZ53">
    <cfRule type="colorScale" priority="762">
      <colorScale>
        <cfvo type="min"/>
        <cfvo type="formula" val="1"/>
        <color theme="0"/>
        <color rgb="FF92D050"/>
      </colorScale>
    </cfRule>
  </conditionalFormatting>
  <conditionalFormatting sqref="AZ53">
    <cfRule type="colorScale" priority="763">
      <colorScale>
        <cfvo type="formula" val="0"/>
        <cfvo type="formula" val="1"/>
        <cfvo type="formula" val="2"/>
        <color rgb="FFFFFFFF"/>
        <color rgb="FFFFFF00"/>
        <color rgb="FF00B050"/>
      </colorScale>
    </cfRule>
  </conditionalFormatting>
  <conditionalFormatting sqref="BB53">
    <cfRule type="colorScale" priority="764">
      <colorScale>
        <cfvo type="min"/>
        <cfvo type="formula" val="1"/>
        <color theme="0"/>
        <color rgb="FF92D050"/>
      </colorScale>
    </cfRule>
  </conditionalFormatting>
  <conditionalFormatting sqref="BB53">
    <cfRule type="colorScale" priority="765">
      <colorScale>
        <cfvo type="formula" val="0"/>
        <cfvo type="formula" val="1"/>
        <cfvo type="formula" val="2"/>
        <color rgb="FFFFFFFF"/>
        <color rgb="FFFFFF00"/>
        <color rgb="FF00B050"/>
      </colorScale>
    </cfRule>
  </conditionalFormatting>
  <conditionalFormatting sqref="BD53">
    <cfRule type="colorScale" priority="766">
      <colorScale>
        <cfvo type="min"/>
        <cfvo type="formula" val="1"/>
        <color theme="0"/>
        <color rgb="FF92D050"/>
      </colorScale>
    </cfRule>
  </conditionalFormatting>
  <conditionalFormatting sqref="BD53">
    <cfRule type="colorScale" priority="767">
      <colorScale>
        <cfvo type="formula" val="0"/>
        <cfvo type="formula" val="1"/>
        <cfvo type="formula" val="2"/>
        <color rgb="FFFFFFFF"/>
        <color rgb="FFFFFF00"/>
        <color rgb="FF00B050"/>
      </colorScale>
    </cfRule>
  </conditionalFormatting>
  <conditionalFormatting sqref="BF53">
    <cfRule type="colorScale" priority="768">
      <colorScale>
        <cfvo type="min"/>
        <cfvo type="formula" val="1"/>
        <color theme="0"/>
        <color rgb="FF92D050"/>
      </colorScale>
    </cfRule>
  </conditionalFormatting>
  <conditionalFormatting sqref="BF53">
    <cfRule type="colorScale" priority="769">
      <colorScale>
        <cfvo type="formula" val="0"/>
        <cfvo type="formula" val="1"/>
        <cfvo type="formula" val="2"/>
        <color rgb="FFFFFFFF"/>
        <color rgb="FFFFFF00"/>
        <color rgb="FF00B050"/>
      </colorScale>
    </cfRule>
  </conditionalFormatting>
  <conditionalFormatting sqref="BH53">
    <cfRule type="colorScale" priority="770">
      <colorScale>
        <cfvo type="min"/>
        <cfvo type="formula" val="1"/>
        <color theme="0"/>
        <color rgb="FF92D050"/>
      </colorScale>
    </cfRule>
  </conditionalFormatting>
  <conditionalFormatting sqref="BH53">
    <cfRule type="colorScale" priority="771">
      <colorScale>
        <cfvo type="formula" val="0"/>
        <cfvo type="formula" val="1"/>
        <cfvo type="formula" val="2"/>
        <color rgb="FFFFFFFF"/>
        <color rgb="FFFFFF00"/>
        <color rgb="FF00B050"/>
      </colorScale>
    </cfRule>
  </conditionalFormatting>
  <conditionalFormatting sqref="BJ53">
    <cfRule type="colorScale" priority="772">
      <colorScale>
        <cfvo type="min"/>
        <cfvo type="formula" val="1"/>
        <color theme="0"/>
        <color rgb="FF92D050"/>
      </colorScale>
    </cfRule>
  </conditionalFormatting>
  <conditionalFormatting sqref="BJ53">
    <cfRule type="colorScale" priority="773">
      <colorScale>
        <cfvo type="formula" val="0"/>
        <cfvo type="formula" val="1"/>
        <cfvo type="formula" val="2"/>
        <color rgb="FFFFFFFF"/>
        <color rgb="FFFFFF00"/>
        <color rgb="FF00B050"/>
      </colorScale>
    </cfRule>
  </conditionalFormatting>
  <conditionalFormatting sqref="AY59 BA59 BC59 BE59">
    <cfRule type="colorScale" priority="774">
      <colorScale>
        <cfvo type="formula" val="0"/>
        <cfvo type="formula" val="1"/>
        <cfvo type="formula" val="2"/>
        <color rgb="FFFFFFFF"/>
        <color rgb="FFFFFF00"/>
        <color rgb="FF00B050"/>
      </colorScale>
    </cfRule>
  </conditionalFormatting>
  <conditionalFormatting sqref="AY59 BA59 BC59 BE59">
    <cfRule type="colorScale" priority="775">
      <colorScale>
        <cfvo type="min"/>
        <cfvo type="formula" val="1"/>
        <color theme="0"/>
        <color rgb="FF92D050"/>
      </colorScale>
    </cfRule>
  </conditionalFormatting>
  <conditionalFormatting sqref="BG59">
    <cfRule type="colorScale" priority="776">
      <colorScale>
        <cfvo type="formula" val="0"/>
        <cfvo type="formula" val="1"/>
        <cfvo type="formula" val="2"/>
        <color rgb="FFFFFFFF"/>
        <color rgb="FFFFFF00"/>
        <color rgb="FF00B050"/>
      </colorScale>
    </cfRule>
  </conditionalFormatting>
  <conditionalFormatting sqref="BG59">
    <cfRule type="colorScale" priority="777">
      <colorScale>
        <cfvo type="min"/>
        <cfvo type="formula" val="1"/>
        <color theme="0"/>
        <color rgb="FF92D050"/>
      </colorScale>
    </cfRule>
  </conditionalFormatting>
  <conditionalFormatting sqref="BI59">
    <cfRule type="colorScale" priority="778">
      <colorScale>
        <cfvo type="formula" val="0"/>
        <cfvo type="formula" val="1"/>
        <cfvo type="formula" val="2"/>
        <color rgb="FFFFFFFF"/>
        <color rgb="FFFFFF00"/>
        <color rgb="FF00B050"/>
      </colorScale>
    </cfRule>
  </conditionalFormatting>
  <conditionalFormatting sqref="BI59">
    <cfRule type="colorScale" priority="779">
      <colorScale>
        <cfvo type="min"/>
        <cfvo type="formula" val="1"/>
        <color theme="0"/>
        <color rgb="FF92D050"/>
      </colorScale>
    </cfRule>
  </conditionalFormatting>
  <conditionalFormatting sqref="AT59">
    <cfRule type="colorScale" priority="780">
      <colorScale>
        <cfvo type="min"/>
        <cfvo type="formula" val="1"/>
        <color theme="0"/>
        <color rgb="FF92D050"/>
      </colorScale>
    </cfRule>
  </conditionalFormatting>
  <conditionalFormatting sqref="AT59">
    <cfRule type="colorScale" priority="781">
      <colorScale>
        <cfvo type="formula" val="0"/>
        <cfvo type="formula" val="1"/>
        <cfvo type="formula" val="2"/>
        <color rgb="FFFFFFFF"/>
        <color rgb="FFFFFF00"/>
        <color rgb="FF00B050"/>
      </colorScale>
    </cfRule>
  </conditionalFormatting>
  <conditionalFormatting sqref="AV59">
    <cfRule type="colorScale" priority="782">
      <colorScale>
        <cfvo type="min"/>
        <cfvo type="formula" val="1"/>
        <color theme="0"/>
        <color rgb="FF92D050"/>
      </colorScale>
    </cfRule>
  </conditionalFormatting>
  <conditionalFormatting sqref="AV59">
    <cfRule type="colorScale" priority="783">
      <colorScale>
        <cfvo type="formula" val="0"/>
        <cfvo type="formula" val="1"/>
        <cfvo type="formula" val="2"/>
        <color rgb="FFFFFFFF"/>
        <color rgb="FFFFFF00"/>
        <color rgb="FF00B050"/>
      </colorScale>
    </cfRule>
  </conditionalFormatting>
  <conditionalFormatting sqref="AX59">
    <cfRule type="colorScale" priority="784">
      <colorScale>
        <cfvo type="min"/>
        <cfvo type="formula" val="1"/>
        <color theme="0"/>
        <color rgb="FF92D050"/>
      </colorScale>
    </cfRule>
  </conditionalFormatting>
  <conditionalFormatting sqref="AX59">
    <cfRule type="colorScale" priority="785">
      <colorScale>
        <cfvo type="formula" val="0"/>
        <cfvo type="formula" val="1"/>
        <cfvo type="formula" val="2"/>
        <color rgb="FFFFFFFF"/>
        <color rgb="FFFFFF00"/>
        <color rgb="FF00B050"/>
      </colorScale>
    </cfRule>
  </conditionalFormatting>
  <conditionalFormatting sqref="AZ59">
    <cfRule type="colorScale" priority="786">
      <colorScale>
        <cfvo type="min"/>
        <cfvo type="formula" val="1"/>
        <color theme="0"/>
        <color rgb="FF92D050"/>
      </colorScale>
    </cfRule>
  </conditionalFormatting>
  <conditionalFormatting sqref="AZ59">
    <cfRule type="colorScale" priority="787">
      <colorScale>
        <cfvo type="formula" val="0"/>
        <cfvo type="formula" val="1"/>
        <cfvo type="formula" val="2"/>
        <color rgb="FFFFFFFF"/>
        <color rgb="FFFFFF00"/>
        <color rgb="FF00B050"/>
      </colorScale>
    </cfRule>
  </conditionalFormatting>
  <conditionalFormatting sqref="BB59">
    <cfRule type="colorScale" priority="788">
      <colorScale>
        <cfvo type="min"/>
        <cfvo type="formula" val="1"/>
        <color theme="0"/>
        <color rgb="FF92D050"/>
      </colorScale>
    </cfRule>
  </conditionalFormatting>
  <conditionalFormatting sqref="BB59">
    <cfRule type="colorScale" priority="789">
      <colorScale>
        <cfvo type="formula" val="0"/>
        <cfvo type="formula" val="1"/>
        <cfvo type="formula" val="2"/>
        <color rgb="FFFFFFFF"/>
        <color rgb="FFFFFF00"/>
        <color rgb="FF00B050"/>
      </colorScale>
    </cfRule>
  </conditionalFormatting>
  <conditionalFormatting sqref="BD59">
    <cfRule type="colorScale" priority="790">
      <colorScale>
        <cfvo type="min"/>
        <cfvo type="formula" val="1"/>
        <color theme="0"/>
        <color rgb="FF92D050"/>
      </colorScale>
    </cfRule>
  </conditionalFormatting>
  <conditionalFormatting sqref="BD59">
    <cfRule type="colorScale" priority="791">
      <colorScale>
        <cfvo type="formula" val="0"/>
        <cfvo type="formula" val="1"/>
        <cfvo type="formula" val="2"/>
        <color rgb="FFFFFFFF"/>
        <color rgb="FFFFFF00"/>
        <color rgb="FF00B050"/>
      </colorScale>
    </cfRule>
  </conditionalFormatting>
  <conditionalFormatting sqref="BF59">
    <cfRule type="colorScale" priority="792">
      <colorScale>
        <cfvo type="min"/>
        <cfvo type="formula" val="1"/>
        <color theme="0"/>
        <color rgb="FF92D050"/>
      </colorScale>
    </cfRule>
  </conditionalFormatting>
  <conditionalFormatting sqref="BF59">
    <cfRule type="colorScale" priority="793">
      <colorScale>
        <cfvo type="formula" val="0"/>
        <cfvo type="formula" val="1"/>
        <cfvo type="formula" val="2"/>
        <color rgb="FFFFFFFF"/>
        <color rgb="FFFFFF00"/>
        <color rgb="FF00B050"/>
      </colorScale>
    </cfRule>
  </conditionalFormatting>
  <conditionalFormatting sqref="BH59">
    <cfRule type="colorScale" priority="794">
      <colorScale>
        <cfvo type="min"/>
        <cfvo type="formula" val="1"/>
        <color theme="0"/>
        <color rgb="FF92D050"/>
      </colorScale>
    </cfRule>
  </conditionalFormatting>
  <conditionalFormatting sqref="BH59">
    <cfRule type="colorScale" priority="795">
      <colorScale>
        <cfvo type="formula" val="0"/>
        <cfvo type="formula" val="1"/>
        <cfvo type="formula" val="2"/>
        <color rgb="FFFFFFFF"/>
        <color rgb="FFFFFF00"/>
        <color rgb="FF00B050"/>
      </colorScale>
    </cfRule>
  </conditionalFormatting>
  <conditionalFormatting sqref="BJ59">
    <cfRule type="colorScale" priority="796">
      <colorScale>
        <cfvo type="min"/>
        <cfvo type="formula" val="1"/>
        <color theme="0"/>
        <color rgb="FF92D050"/>
      </colorScale>
    </cfRule>
  </conditionalFormatting>
  <conditionalFormatting sqref="BJ59">
    <cfRule type="colorScale" priority="797">
      <colorScale>
        <cfvo type="formula" val="0"/>
        <cfvo type="formula" val="1"/>
        <cfvo type="formula" val="2"/>
        <color rgb="FFFFFFFF"/>
        <color rgb="FFFFFF00"/>
        <color rgb="FF00B050"/>
      </colorScale>
    </cfRule>
  </conditionalFormatting>
  <conditionalFormatting sqref="AY65 BA65 BC65 BE65">
    <cfRule type="colorScale" priority="798">
      <colorScale>
        <cfvo type="formula" val="0"/>
        <cfvo type="formula" val="1"/>
        <cfvo type="formula" val="2"/>
        <color rgb="FFFFFFFF"/>
        <color rgb="FFFFFF00"/>
        <color rgb="FF00B050"/>
      </colorScale>
    </cfRule>
  </conditionalFormatting>
  <conditionalFormatting sqref="AY65 BA65 BC65 BE65">
    <cfRule type="colorScale" priority="799">
      <colorScale>
        <cfvo type="min"/>
        <cfvo type="formula" val="1"/>
        <color theme="0"/>
        <color rgb="FF92D050"/>
      </colorScale>
    </cfRule>
  </conditionalFormatting>
  <conditionalFormatting sqref="BG65">
    <cfRule type="colorScale" priority="800">
      <colorScale>
        <cfvo type="formula" val="0"/>
        <cfvo type="formula" val="1"/>
        <cfvo type="formula" val="2"/>
        <color rgb="FFFFFFFF"/>
        <color rgb="FFFFFF00"/>
        <color rgb="FF00B050"/>
      </colorScale>
    </cfRule>
  </conditionalFormatting>
  <conditionalFormatting sqref="BG65">
    <cfRule type="colorScale" priority="801">
      <colorScale>
        <cfvo type="min"/>
        <cfvo type="formula" val="1"/>
        <color theme="0"/>
        <color rgb="FF92D050"/>
      </colorScale>
    </cfRule>
  </conditionalFormatting>
  <conditionalFormatting sqref="BI65">
    <cfRule type="colorScale" priority="802">
      <colorScale>
        <cfvo type="formula" val="0"/>
        <cfvo type="formula" val="1"/>
        <cfvo type="formula" val="2"/>
        <color rgb="FFFFFFFF"/>
        <color rgb="FFFFFF00"/>
        <color rgb="FF00B050"/>
      </colorScale>
    </cfRule>
  </conditionalFormatting>
  <conditionalFormatting sqref="BI65">
    <cfRule type="colorScale" priority="803">
      <colorScale>
        <cfvo type="min"/>
        <cfvo type="formula" val="1"/>
        <color theme="0"/>
        <color rgb="FF92D050"/>
      </colorScale>
    </cfRule>
  </conditionalFormatting>
  <conditionalFormatting sqref="AP65:BH65">
    <cfRule type="colorScale" priority="804">
      <colorScale>
        <cfvo type="formula" val="0"/>
        <cfvo type="formula" val="1"/>
        <cfvo type="formula" val="2"/>
        <color rgb="FFFFFFFF"/>
        <color rgb="FFFFFF00"/>
        <color rgb="FF00B050"/>
      </colorScale>
    </cfRule>
  </conditionalFormatting>
  <conditionalFormatting sqref="AT65">
    <cfRule type="colorScale" priority="805">
      <colorScale>
        <cfvo type="min"/>
        <cfvo type="formula" val="1"/>
        <color theme="0"/>
        <color rgb="FF92D050"/>
      </colorScale>
    </cfRule>
  </conditionalFormatting>
  <conditionalFormatting sqref="AT65">
    <cfRule type="colorScale" priority="806">
      <colorScale>
        <cfvo type="formula" val="0"/>
        <cfvo type="formula" val="1"/>
        <cfvo type="formula" val="2"/>
        <color rgb="FFFFFFFF"/>
        <color rgb="FFFFFF00"/>
        <color rgb="FF00B050"/>
      </colorScale>
    </cfRule>
  </conditionalFormatting>
  <conditionalFormatting sqref="AV65">
    <cfRule type="colorScale" priority="807">
      <colorScale>
        <cfvo type="min"/>
        <cfvo type="formula" val="1"/>
        <color theme="0"/>
        <color rgb="FF92D050"/>
      </colorScale>
    </cfRule>
  </conditionalFormatting>
  <conditionalFormatting sqref="AV65">
    <cfRule type="colorScale" priority="808">
      <colorScale>
        <cfvo type="formula" val="0"/>
        <cfvo type="formula" val="1"/>
        <cfvo type="formula" val="2"/>
        <color rgb="FFFFFFFF"/>
        <color rgb="FFFFFF00"/>
        <color rgb="FF00B050"/>
      </colorScale>
    </cfRule>
  </conditionalFormatting>
  <conditionalFormatting sqref="AX65">
    <cfRule type="colorScale" priority="809">
      <colorScale>
        <cfvo type="min"/>
        <cfvo type="formula" val="1"/>
        <color theme="0"/>
        <color rgb="FF92D050"/>
      </colorScale>
    </cfRule>
  </conditionalFormatting>
  <conditionalFormatting sqref="AX65">
    <cfRule type="colorScale" priority="810">
      <colorScale>
        <cfvo type="formula" val="0"/>
        <cfvo type="formula" val="1"/>
        <cfvo type="formula" val="2"/>
        <color rgb="FFFFFFFF"/>
        <color rgb="FFFFFF00"/>
        <color rgb="FF00B050"/>
      </colorScale>
    </cfRule>
  </conditionalFormatting>
  <conditionalFormatting sqref="AZ65">
    <cfRule type="colorScale" priority="811">
      <colorScale>
        <cfvo type="min"/>
        <cfvo type="formula" val="1"/>
        <color theme="0"/>
        <color rgb="FF92D050"/>
      </colorScale>
    </cfRule>
  </conditionalFormatting>
  <conditionalFormatting sqref="AZ65">
    <cfRule type="colorScale" priority="812">
      <colorScale>
        <cfvo type="formula" val="0"/>
        <cfvo type="formula" val="1"/>
        <cfvo type="formula" val="2"/>
        <color rgb="FFFFFFFF"/>
        <color rgb="FFFFFF00"/>
        <color rgb="FF00B050"/>
      </colorScale>
    </cfRule>
  </conditionalFormatting>
  <conditionalFormatting sqref="BB65">
    <cfRule type="colorScale" priority="813">
      <colorScale>
        <cfvo type="min"/>
        <cfvo type="formula" val="1"/>
        <color theme="0"/>
        <color rgb="FF92D050"/>
      </colorScale>
    </cfRule>
  </conditionalFormatting>
  <conditionalFormatting sqref="BB65">
    <cfRule type="colorScale" priority="814">
      <colorScale>
        <cfvo type="formula" val="0"/>
        <cfvo type="formula" val="1"/>
        <cfvo type="formula" val="2"/>
        <color rgb="FFFFFFFF"/>
        <color rgb="FFFFFF00"/>
        <color rgb="FF00B050"/>
      </colorScale>
    </cfRule>
  </conditionalFormatting>
  <conditionalFormatting sqref="BD65">
    <cfRule type="colorScale" priority="815">
      <colorScale>
        <cfvo type="min"/>
        <cfvo type="formula" val="1"/>
        <color theme="0"/>
        <color rgb="FF92D050"/>
      </colorScale>
    </cfRule>
  </conditionalFormatting>
  <conditionalFormatting sqref="BD65">
    <cfRule type="colorScale" priority="816">
      <colorScale>
        <cfvo type="formula" val="0"/>
        <cfvo type="formula" val="1"/>
        <cfvo type="formula" val="2"/>
        <color rgb="FFFFFFFF"/>
        <color rgb="FFFFFF00"/>
        <color rgb="FF00B050"/>
      </colorScale>
    </cfRule>
  </conditionalFormatting>
  <conditionalFormatting sqref="BF65">
    <cfRule type="colorScale" priority="817">
      <colorScale>
        <cfvo type="min"/>
        <cfvo type="formula" val="1"/>
        <color theme="0"/>
        <color rgb="FF92D050"/>
      </colorScale>
    </cfRule>
  </conditionalFormatting>
  <conditionalFormatting sqref="BF65">
    <cfRule type="colorScale" priority="818">
      <colorScale>
        <cfvo type="formula" val="0"/>
        <cfvo type="formula" val="1"/>
        <cfvo type="formula" val="2"/>
        <color rgb="FFFFFFFF"/>
        <color rgb="FFFFFF00"/>
        <color rgb="FF00B050"/>
      </colorScale>
    </cfRule>
  </conditionalFormatting>
  <conditionalFormatting sqref="BH65">
    <cfRule type="colorScale" priority="819">
      <colorScale>
        <cfvo type="min"/>
        <cfvo type="formula" val="1"/>
        <color theme="0"/>
        <color rgb="FF92D050"/>
      </colorScale>
    </cfRule>
  </conditionalFormatting>
  <conditionalFormatting sqref="BH65">
    <cfRule type="colorScale" priority="820">
      <colorScale>
        <cfvo type="formula" val="0"/>
        <cfvo type="formula" val="1"/>
        <cfvo type="formula" val="2"/>
        <color rgb="FFFFFFFF"/>
        <color rgb="FFFFFF00"/>
        <color rgb="FF00B050"/>
      </colorScale>
    </cfRule>
  </conditionalFormatting>
  <conditionalFormatting sqref="BJ65">
    <cfRule type="colorScale" priority="821">
      <colorScale>
        <cfvo type="min"/>
        <cfvo type="formula" val="1"/>
        <color theme="0"/>
        <color rgb="FF92D050"/>
      </colorScale>
    </cfRule>
  </conditionalFormatting>
  <conditionalFormatting sqref="BJ65">
    <cfRule type="colorScale" priority="822">
      <colorScale>
        <cfvo type="formula" val="0"/>
        <cfvo type="formula" val="1"/>
        <cfvo type="formula" val="2"/>
        <color rgb="FFFFFFFF"/>
        <color rgb="FFFFFF00"/>
        <color rgb="FF00B050"/>
      </colorScale>
    </cfRule>
  </conditionalFormatting>
  <conditionalFormatting sqref="AY71 BA71 BC71 BE71">
    <cfRule type="colorScale" priority="823">
      <colorScale>
        <cfvo type="formula" val="0"/>
        <cfvo type="formula" val="1"/>
        <cfvo type="formula" val="2"/>
        <color rgb="FFFFFFFF"/>
        <color rgb="FFFFFF00"/>
        <color rgb="FF00B050"/>
      </colorScale>
    </cfRule>
  </conditionalFormatting>
  <conditionalFormatting sqref="AY71 BA71 BC71 BE71">
    <cfRule type="colorScale" priority="824">
      <colorScale>
        <cfvo type="min"/>
        <cfvo type="formula" val="1"/>
        <color theme="0"/>
        <color rgb="FF92D050"/>
      </colorScale>
    </cfRule>
  </conditionalFormatting>
  <conditionalFormatting sqref="BG71">
    <cfRule type="colorScale" priority="825">
      <colorScale>
        <cfvo type="formula" val="0"/>
        <cfvo type="formula" val="1"/>
        <cfvo type="formula" val="2"/>
        <color rgb="FFFFFFFF"/>
        <color rgb="FFFFFF00"/>
        <color rgb="FF00B050"/>
      </colorScale>
    </cfRule>
  </conditionalFormatting>
  <conditionalFormatting sqref="BG71">
    <cfRule type="colorScale" priority="826">
      <colorScale>
        <cfvo type="min"/>
        <cfvo type="formula" val="1"/>
        <color theme="0"/>
        <color rgb="FF92D050"/>
      </colorScale>
    </cfRule>
  </conditionalFormatting>
  <conditionalFormatting sqref="BI71">
    <cfRule type="colorScale" priority="827">
      <colorScale>
        <cfvo type="formula" val="0"/>
        <cfvo type="formula" val="1"/>
        <cfvo type="formula" val="2"/>
        <color rgb="FFFFFFFF"/>
        <color rgb="FFFFFF00"/>
        <color rgb="FF00B050"/>
      </colorScale>
    </cfRule>
  </conditionalFormatting>
  <conditionalFormatting sqref="BI71">
    <cfRule type="colorScale" priority="828">
      <colorScale>
        <cfvo type="min"/>
        <cfvo type="formula" val="1"/>
        <color theme="0"/>
        <color rgb="FF92D050"/>
      </colorScale>
    </cfRule>
  </conditionalFormatting>
  <conditionalFormatting sqref="AP71:BH71">
    <cfRule type="colorScale" priority="829">
      <colorScale>
        <cfvo type="formula" val="0"/>
        <cfvo type="formula" val="1"/>
        <cfvo type="formula" val="2"/>
        <color rgb="FFFFFFFF"/>
        <color rgb="FFFFFF00"/>
        <color rgb="FF00B050"/>
      </colorScale>
    </cfRule>
  </conditionalFormatting>
  <conditionalFormatting sqref="AV71">
    <cfRule type="colorScale" priority="830">
      <colorScale>
        <cfvo type="min"/>
        <cfvo type="formula" val="1"/>
        <color theme="0"/>
        <color rgb="FF92D050"/>
      </colorScale>
    </cfRule>
  </conditionalFormatting>
  <conditionalFormatting sqref="AV71">
    <cfRule type="colorScale" priority="831">
      <colorScale>
        <cfvo type="formula" val="0"/>
        <cfvo type="formula" val="1"/>
        <cfvo type="formula" val="2"/>
        <color rgb="FFFFFFFF"/>
        <color rgb="FFFFFF00"/>
        <color rgb="FF00B050"/>
      </colorScale>
    </cfRule>
  </conditionalFormatting>
  <conditionalFormatting sqref="AX71">
    <cfRule type="colorScale" priority="832">
      <colorScale>
        <cfvo type="min"/>
        <cfvo type="formula" val="1"/>
        <color theme="0"/>
        <color rgb="FF92D050"/>
      </colorScale>
    </cfRule>
  </conditionalFormatting>
  <conditionalFormatting sqref="AX71">
    <cfRule type="colorScale" priority="833">
      <colorScale>
        <cfvo type="formula" val="0"/>
        <cfvo type="formula" val="1"/>
        <cfvo type="formula" val="2"/>
        <color rgb="FFFFFFFF"/>
        <color rgb="FFFFFF00"/>
        <color rgb="FF00B050"/>
      </colorScale>
    </cfRule>
  </conditionalFormatting>
  <conditionalFormatting sqref="AZ71">
    <cfRule type="colorScale" priority="834">
      <colorScale>
        <cfvo type="min"/>
        <cfvo type="formula" val="1"/>
        <color theme="0"/>
        <color rgb="FF92D050"/>
      </colorScale>
    </cfRule>
  </conditionalFormatting>
  <conditionalFormatting sqref="AZ71">
    <cfRule type="colorScale" priority="835">
      <colorScale>
        <cfvo type="formula" val="0"/>
        <cfvo type="formula" val="1"/>
        <cfvo type="formula" val="2"/>
        <color rgb="FFFFFFFF"/>
        <color rgb="FFFFFF00"/>
        <color rgb="FF00B050"/>
      </colorScale>
    </cfRule>
  </conditionalFormatting>
  <conditionalFormatting sqref="BB71">
    <cfRule type="colorScale" priority="836">
      <colorScale>
        <cfvo type="min"/>
        <cfvo type="formula" val="1"/>
        <color theme="0"/>
        <color rgb="FF92D050"/>
      </colorScale>
    </cfRule>
  </conditionalFormatting>
  <conditionalFormatting sqref="BB71">
    <cfRule type="colorScale" priority="837">
      <colorScale>
        <cfvo type="formula" val="0"/>
        <cfvo type="formula" val="1"/>
        <cfvo type="formula" val="2"/>
        <color rgb="FFFFFFFF"/>
        <color rgb="FFFFFF00"/>
        <color rgb="FF00B050"/>
      </colorScale>
    </cfRule>
  </conditionalFormatting>
  <conditionalFormatting sqref="BD71">
    <cfRule type="colorScale" priority="838">
      <colorScale>
        <cfvo type="min"/>
        <cfvo type="formula" val="1"/>
        <color theme="0"/>
        <color rgb="FF92D050"/>
      </colorScale>
    </cfRule>
  </conditionalFormatting>
  <conditionalFormatting sqref="BD71">
    <cfRule type="colorScale" priority="839">
      <colorScale>
        <cfvo type="formula" val="0"/>
        <cfvo type="formula" val="1"/>
        <cfvo type="formula" val="2"/>
        <color rgb="FFFFFFFF"/>
        <color rgb="FFFFFF00"/>
        <color rgb="FF00B050"/>
      </colorScale>
    </cfRule>
  </conditionalFormatting>
  <conditionalFormatting sqref="BF71">
    <cfRule type="colorScale" priority="840">
      <colorScale>
        <cfvo type="min"/>
        <cfvo type="formula" val="1"/>
        <color theme="0"/>
        <color rgb="FF92D050"/>
      </colorScale>
    </cfRule>
  </conditionalFormatting>
  <conditionalFormatting sqref="BF71">
    <cfRule type="colorScale" priority="841">
      <colorScale>
        <cfvo type="formula" val="0"/>
        <cfvo type="formula" val="1"/>
        <cfvo type="formula" val="2"/>
        <color rgb="FFFFFFFF"/>
        <color rgb="FFFFFF00"/>
        <color rgb="FF00B050"/>
      </colorScale>
    </cfRule>
  </conditionalFormatting>
  <conditionalFormatting sqref="BH71">
    <cfRule type="colorScale" priority="842">
      <colorScale>
        <cfvo type="min"/>
        <cfvo type="formula" val="1"/>
        <color theme="0"/>
        <color rgb="FF92D050"/>
      </colorScale>
    </cfRule>
  </conditionalFormatting>
  <conditionalFormatting sqref="BH71">
    <cfRule type="colorScale" priority="843">
      <colorScale>
        <cfvo type="formula" val="0"/>
        <cfvo type="formula" val="1"/>
        <cfvo type="formula" val="2"/>
        <color rgb="FFFFFFFF"/>
        <color rgb="FFFFFF00"/>
        <color rgb="FF00B050"/>
      </colorScale>
    </cfRule>
  </conditionalFormatting>
  <conditionalFormatting sqref="BJ71">
    <cfRule type="colorScale" priority="844">
      <colorScale>
        <cfvo type="min"/>
        <cfvo type="formula" val="1"/>
        <color theme="0"/>
        <color rgb="FF92D050"/>
      </colorScale>
    </cfRule>
  </conditionalFormatting>
  <conditionalFormatting sqref="BJ71">
    <cfRule type="colorScale" priority="845">
      <colorScale>
        <cfvo type="formula" val="0"/>
        <cfvo type="formula" val="1"/>
        <cfvo type="formula" val="2"/>
        <color rgb="FFFFFFFF"/>
        <color rgb="FFFFFF00"/>
        <color rgb="FF00B050"/>
      </colorScale>
    </cfRule>
  </conditionalFormatting>
  <conditionalFormatting sqref="AY77 BA77 BC77 BE77">
    <cfRule type="colorScale" priority="846">
      <colorScale>
        <cfvo type="formula" val="0"/>
        <cfvo type="formula" val="1"/>
        <cfvo type="formula" val="2"/>
        <color rgb="FFFFFFFF"/>
        <color rgb="FFFFFF00"/>
        <color rgb="FF00B050"/>
      </colorScale>
    </cfRule>
  </conditionalFormatting>
  <conditionalFormatting sqref="AY77 BA77 BC77 BE77">
    <cfRule type="colorScale" priority="847">
      <colorScale>
        <cfvo type="min"/>
        <cfvo type="formula" val="1"/>
        <color theme="0"/>
        <color rgb="FF92D050"/>
      </colorScale>
    </cfRule>
  </conditionalFormatting>
  <conditionalFormatting sqref="BG77">
    <cfRule type="colorScale" priority="848">
      <colorScale>
        <cfvo type="formula" val="0"/>
        <cfvo type="formula" val="1"/>
        <cfvo type="formula" val="2"/>
        <color rgb="FFFFFFFF"/>
        <color rgb="FFFFFF00"/>
        <color rgb="FF00B050"/>
      </colorScale>
    </cfRule>
  </conditionalFormatting>
  <conditionalFormatting sqref="BG77">
    <cfRule type="colorScale" priority="849">
      <colorScale>
        <cfvo type="min"/>
        <cfvo type="formula" val="1"/>
        <color theme="0"/>
        <color rgb="FF92D050"/>
      </colorScale>
    </cfRule>
  </conditionalFormatting>
  <conditionalFormatting sqref="BI77">
    <cfRule type="colorScale" priority="850">
      <colorScale>
        <cfvo type="formula" val="0"/>
        <cfvo type="formula" val="1"/>
        <cfvo type="formula" val="2"/>
        <color rgb="FFFFFFFF"/>
        <color rgb="FFFFFF00"/>
        <color rgb="FF00B050"/>
      </colorScale>
    </cfRule>
  </conditionalFormatting>
  <conditionalFormatting sqref="BI77">
    <cfRule type="colorScale" priority="851">
      <colorScale>
        <cfvo type="min"/>
        <cfvo type="formula" val="1"/>
        <color theme="0"/>
        <color rgb="FF92D050"/>
      </colorScale>
    </cfRule>
  </conditionalFormatting>
  <conditionalFormatting sqref="AR77:BH77">
    <cfRule type="colorScale" priority="852">
      <colorScale>
        <cfvo type="formula" val="0"/>
        <cfvo type="formula" val="1"/>
        <cfvo type="formula" val="2"/>
        <color rgb="FFFFFFFF"/>
        <color rgb="FFFFFF00"/>
        <color rgb="FF00B050"/>
      </colorScale>
    </cfRule>
  </conditionalFormatting>
  <conditionalFormatting sqref="AV77">
    <cfRule type="colorScale" priority="853">
      <colorScale>
        <cfvo type="min"/>
        <cfvo type="formula" val="1"/>
        <color theme="0"/>
        <color rgb="FF92D050"/>
      </colorScale>
    </cfRule>
  </conditionalFormatting>
  <conditionalFormatting sqref="AV77">
    <cfRule type="colorScale" priority="854">
      <colorScale>
        <cfvo type="formula" val="0"/>
        <cfvo type="formula" val="1"/>
        <cfvo type="formula" val="2"/>
        <color rgb="FFFFFFFF"/>
        <color rgb="FFFFFF00"/>
        <color rgb="FF00B050"/>
      </colorScale>
    </cfRule>
  </conditionalFormatting>
  <conditionalFormatting sqref="AX77">
    <cfRule type="colorScale" priority="855">
      <colorScale>
        <cfvo type="min"/>
        <cfvo type="formula" val="1"/>
        <color theme="0"/>
        <color rgb="FF92D050"/>
      </colorScale>
    </cfRule>
  </conditionalFormatting>
  <conditionalFormatting sqref="AX77">
    <cfRule type="colorScale" priority="856">
      <colorScale>
        <cfvo type="formula" val="0"/>
        <cfvo type="formula" val="1"/>
        <cfvo type="formula" val="2"/>
        <color rgb="FFFFFFFF"/>
        <color rgb="FFFFFF00"/>
        <color rgb="FF00B050"/>
      </colorScale>
    </cfRule>
  </conditionalFormatting>
  <conditionalFormatting sqref="AZ77">
    <cfRule type="colorScale" priority="857">
      <colorScale>
        <cfvo type="min"/>
        <cfvo type="formula" val="1"/>
        <color theme="0"/>
        <color rgb="FF92D050"/>
      </colorScale>
    </cfRule>
  </conditionalFormatting>
  <conditionalFormatting sqref="AZ77">
    <cfRule type="colorScale" priority="858">
      <colorScale>
        <cfvo type="formula" val="0"/>
        <cfvo type="formula" val="1"/>
        <cfvo type="formula" val="2"/>
        <color rgb="FFFFFFFF"/>
        <color rgb="FFFFFF00"/>
        <color rgb="FF00B050"/>
      </colorScale>
    </cfRule>
  </conditionalFormatting>
  <conditionalFormatting sqref="BB77">
    <cfRule type="colorScale" priority="859">
      <colorScale>
        <cfvo type="min"/>
        <cfvo type="formula" val="1"/>
        <color theme="0"/>
        <color rgb="FF92D050"/>
      </colorScale>
    </cfRule>
  </conditionalFormatting>
  <conditionalFormatting sqref="BB77">
    <cfRule type="colorScale" priority="860">
      <colorScale>
        <cfvo type="formula" val="0"/>
        <cfvo type="formula" val="1"/>
        <cfvo type="formula" val="2"/>
        <color rgb="FFFFFFFF"/>
        <color rgb="FFFFFF00"/>
        <color rgb="FF00B050"/>
      </colorScale>
    </cfRule>
  </conditionalFormatting>
  <conditionalFormatting sqref="BD77">
    <cfRule type="colorScale" priority="861">
      <colorScale>
        <cfvo type="min"/>
        <cfvo type="formula" val="1"/>
        <color theme="0"/>
        <color rgb="FF92D050"/>
      </colorScale>
    </cfRule>
  </conditionalFormatting>
  <conditionalFormatting sqref="BD77">
    <cfRule type="colorScale" priority="862">
      <colorScale>
        <cfvo type="formula" val="0"/>
        <cfvo type="formula" val="1"/>
        <cfvo type="formula" val="2"/>
        <color rgb="FFFFFFFF"/>
        <color rgb="FFFFFF00"/>
        <color rgb="FF00B050"/>
      </colorScale>
    </cfRule>
  </conditionalFormatting>
  <conditionalFormatting sqref="BF77">
    <cfRule type="colorScale" priority="863">
      <colorScale>
        <cfvo type="min"/>
        <cfvo type="formula" val="1"/>
        <color theme="0"/>
        <color rgb="FF92D050"/>
      </colorScale>
    </cfRule>
  </conditionalFormatting>
  <conditionalFormatting sqref="BF77">
    <cfRule type="colorScale" priority="864">
      <colorScale>
        <cfvo type="formula" val="0"/>
        <cfvo type="formula" val="1"/>
        <cfvo type="formula" val="2"/>
        <color rgb="FFFFFFFF"/>
        <color rgb="FFFFFF00"/>
        <color rgb="FF00B050"/>
      </colorScale>
    </cfRule>
  </conditionalFormatting>
  <conditionalFormatting sqref="BH77">
    <cfRule type="colorScale" priority="865">
      <colorScale>
        <cfvo type="min"/>
        <cfvo type="formula" val="1"/>
        <color theme="0"/>
        <color rgb="FF92D050"/>
      </colorScale>
    </cfRule>
  </conditionalFormatting>
  <conditionalFormatting sqref="BH77">
    <cfRule type="colorScale" priority="866">
      <colorScale>
        <cfvo type="formula" val="0"/>
        <cfvo type="formula" val="1"/>
        <cfvo type="formula" val="2"/>
        <color rgb="FFFFFFFF"/>
        <color rgb="FFFFFF00"/>
        <color rgb="FF00B050"/>
      </colorScale>
    </cfRule>
  </conditionalFormatting>
  <conditionalFormatting sqref="BJ77">
    <cfRule type="colorScale" priority="867">
      <colorScale>
        <cfvo type="min"/>
        <cfvo type="formula" val="1"/>
        <color theme="0"/>
        <color rgb="FF92D050"/>
      </colorScale>
    </cfRule>
  </conditionalFormatting>
  <conditionalFormatting sqref="BJ77">
    <cfRule type="colorScale" priority="868">
      <colorScale>
        <cfvo type="formula" val="0"/>
        <cfvo type="formula" val="1"/>
        <cfvo type="formula" val="2"/>
        <color rgb="FFFFFFFF"/>
        <color rgb="FFFFFF00"/>
        <color rgb="FF00B050"/>
      </colorScale>
    </cfRule>
  </conditionalFormatting>
  <conditionalFormatting sqref="AY83 BA83 BC83 BE83">
    <cfRule type="colorScale" priority="869">
      <colorScale>
        <cfvo type="formula" val="0"/>
        <cfvo type="formula" val="1"/>
        <cfvo type="formula" val="2"/>
        <color rgb="FFFFFFFF"/>
        <color rgb="FFFFFF00"/>
        <color rgb="FF00B050"/>
      </colorScale>
    </cfRule>
  </conditionalFormatting>
  <conditionalFormatting sqref="AY83 BA83 BC83 BE83">
    <cfRule type="colorScale" priority="870">
      <colorScale>
        <cfvo type="min"/>
        <cfvo type="formula" val="1"/>
        <color theme="0"/>
        <color rgb="FF92D050"/>
      </colorScale>
    </cfRule>
  </conditionalFormatting>
  <conditionalFormatting sqref="BG83">
    <cfRule type="colorScale" priority="871">
      <colorScale>
        <cfvo type="formula" val="0"/>
        <cfvo type="formula" val="1"/>
        <cfvo type="formula" val="2"/>
        <color rgb="FFFFFFFF"/>
        <color rgb="FFFFFF00"/>
        <color rgb="FF00B050"/>
      </colorScale>
    </cfRule>
  </conditionalFormatting>
  <conditionalFormatting sqref="BG83">
    <cfRule type="colorScale" priority="872">
      <colorScale>
        <cfvo type="min"/>
        <cfvo type="formula" val="1"/>
        <color theme="0"/>
        <color rgb="FF92D050"/>
      </colorScale>
    </cfRule>
  </conditionalFormatting>
  <conditionalFormatting sqref="BI83">
    <cfRule type="colorScale" priority="873">
      <colorScale>
        <cfvo type="formula" val="0"/>
        <cfvo type="formula" val="1"/>
        <cfvo type="formula" val="2"/>
        <color rgb="FFFFFFFF"/>
        <color rgb="FFFFFF00"/>
        <color rgb="FF00B050"/>
      </colorScale>
    </cfRule>
  </conditionalFormatting>
  <conditionalFormatting sqref="BI83">
    <cfRule type="colorScale" priority="874">
      <colorScale>
        <cfvo type="min"/>
        <cfvo type="formula" val="1"/>
        <color theme="0"/>
        <color rgb="FF92D050"/>
      </colorScale>
    </cfRule>
  </conditionalFormatting>
  <conditionalFormatting sqref="AN83:BH83">
    <cfRule type="colorScale" priority="875">
      <colorScale>
        <cfvo type="formula" val="0"/>
        <cfvo type="formula" val="1"/>
        <cfvo type="formula" val="2"/>
        <color rgb="FFFFFFFF"/>
        <color rgb="FFFFFF00"/>
        <color rgb="FF00B050"/>
      </colorScale>
    </cfRule>
  </conditionalFormatting>
  <conditionalFormatting sqref="AT83">
    <cfRule type="colorScale" priority="876">
      <colorScale>
        <cfvo type="min"/>
        <cfvo type="formula" val="1"/>
        <color theme="0"/>
        <color rgb="FF92D050"/>
      </colorScale>
    </cfRule>
  </conditionalFormatting>
  <conditionalFormatting sqref="AT83">
    <cfRule type="colorScale" priority="877">
      <colorScale>
        <cfvo type="formula" val="0"/>
        <cfvo type="formula" val="1"/>
        <cfvo type="formula" val="2"/>
        <color rgb="FFFFFFFF"/>
        <color rgb="FFFFFF00"/>
        <color rgb="FF00B050"/>
      </colorScale>
    </cfRule>
  </conditionalFormatting>
  <conditionalFormatting sqref="AV83">
    <cfRule type="colorScale" priority="878">
      <colorScale>
        <cfvo type="min"/>
        <cfvo type="formula" val="1"/>
        <color theme="0"/>
        <color rgb="FF92D050"/>
      </colorScale>
    </cfRule>
  </conditionalFormatting>
  <conditionalFormatting sqref="AV83">
    <cfRule type="colorScale" priority="879">
      <colorScale>
        <cfvo type="formula" val="0"/>
        <cfvo type="formula" val="1"/>
        <cfvo type="formula" val="2"/>
        <color rgb="FFFFFFFF"/>
        <color rgb="FFFFFF00"/>
        <color rgb="FF00B050"/>
      </colorScale>
    </cfRule>
  </conditionalFormatting>
  <conditionalFormatting sqref="AX83">
    <cfRule type="colorScale" priority="880">
      <colorScale>
        <cfvo type="min"/>
        <cfvo type="formula" val="1"/>
        <color theme="0"/>
        <color rgb="FF92D050"/>
      </colorScale>
    </cfRule>
  </conditionalFormatting>
  <conditionalFormatting sqref="AX83">
    <cfRule type="colorScale" priority="881">
      <colorScale>
        <cfvo type="formula" val="0"/>
        <cfvo type="formula" val="1"/>
        <cfvo type="formula" val="2"/>
        <color rgb="FFFFFFFF"/>
        <color rgb="FFFFFF00"/>
        <color rgb="FF00B050"/>
      </colorScale>
    </cfRule>
  </conditionalFormatting>
  <conditionalFormatting sqref="AZ83">
    <cfRule type="colorScale" priority="882">
      <colorScale>
        <cfvo type="min"/>
        <cfvo type="formula" val="1"/>
        <color theme="0"/>
        <color rgb="FF92D050"/>
      </colorScale>
    </cfRule>
  </conditionalFormatting>
  <conditionalFormatting sqref="AZ83">
    <cfRule type="colorScale" priority="883">
      <colorScale>
        <cfvo type="formula" val="0"/>
        <cfvo type="formula" val="1"/>
        <cfvo type="formula" val="2"/>
        <color rgb="FFFFFFFF"/>
        <color rgb="FFFFFF00"/>
        <color rgb="FF00B050"/>
      </colorScale>
    </cfRule>
  </conditionalFormatting>
  <conditionalFormatting sqref="BB83">
    <cfRule type="colorScale" priority="884">
      <colorScale>
        <cfvo type="min"/>
        <cfvo type="formula" val="1"/>
        <color theme="0"/>
        <color rgb="FF92D050"/>
      </colorScale>
    </cfRule>
  </conditionalFormatting>
  <conditionalFormatting sqref="BB83">
    <cfRule type="colorScale" priority="885">
      <colorScale>
        <cfvo type="formula" val="0"/>
        <cfvo type="formula" val="1"/>
        <cfvo type="formula" val="2"/>
        <color rgb="FFFFFFFF"/>
        <color rgb="FFFFFF00"/>
        <color rgb="FF00B050"/>
      </colorScale>
    </cfRule>
  </conditionalFormatting>
  <conditionalFormatting sqref="BD83">
    <cfRule type="colorScale" priority="886">
      <colorScale>
        <cfvo type="min"/>
        <cfvo type="formula" val="1"/>
        <color theme="0"/>
        <color rgb="FF92D050"/>
      </colorScale>
    </cfRule>
  </conditionalFormatting>
  <conditionalFormatting sqref="BD83">
    <cfRule type="colorScale" priority="887">
      <colorScale>
        <cfvo type="formula" val="0"/>
        <cfvo type="formula" val="1"/>
        <cfvo type="formula" val="2"/>
        <color rgb="FFFFFFFF"/>
        <color rgb="FFFFFF00"/>
        <color rgb="FF00B050"/>
      </colorScale>
    </cfRule>
  </conditionalFormatting>
  <conditionalFormatting sqref="BF83">
    <cfRule type="colorScale" priority="888">
      <colorScale>
        <cfvo type="min"/>
        <cfvo type="formula" val="1"/>
        <color theme="0"/>
        <color rgb="FF92D050"/>
      </colorScale>
    </cfRule>
  </conditionalFormatting>
  <conditionalFormatting sqref="BF83">
    <cfRule type="colorScale" priority="889">
      <colorScale>
        <cfvo type="formula" val="0"/>
        <cfvo type="formula" val="1"/>
        <cfvo type="formula" val="2"/>
        <color rgb="FFFFFFFF"/>
        <color rgb="FFFFFF00"/>
        <color rgb="FF00B050"/>
      </colorScale>
    </cfRule>
  </conditionalFormatting>
  <conditionalFormatting sqref="BH83">
    <cfRule type="colorScale" priority="890">
      <colorScale>
        <cfvo type="min"/>
        <cfvo type="formula" val="1"/>
        <color theme="0"/>
        <color rgb="FF92D050"/>
      </colorScale>
    </cfRule>
  </conditionalFormatting>
  <conditionalFormatting sqref="BH83">
    <cfRule type="colorScale" priority="891">
      <colorScale>
        <cfvo type="formula" val="0"/>
        <cfvo type="formula" val="1"/>
        <cfvo type="formula" val="2"/>
        <color rgb="FFFFFFFF"/>
        <color rgb="FFFFFF00"/>
        <color rgb="FF00B050"/>
      </colorScale>
    </cfRule>
  </conditionalFormatting>
  <conditionalFormatting sqref="BJ83">
    <cfRule type="colorScale" priority="892">
      <colorScale>
        <cfvo type="min"/>
        <cfvo type="formula" val="1"/>
        <color theme="0"/>
        <color rgb="FF92D050"/>
      </colorScale>
    </cfRule>
  </conditionalFormatting>
  <conditionalFormatting sqref="BJ83">
    <cfRule type="colorScale" priority="893">
      <colorScale>
        <cfvo type="formula" val="0"/>
        <cfvo type="formula" val="1"/>
        <cfvo type="formula" val="2"/>
        <color rgb="FFFFFFFF"/>
        <color rgb="FFFFFF00"/>
        <color rgb="FF00B050"/>
      </colorScale>
    </cfRule>
  </conditionalFormatting>
  <conditionalFormatting sqref="AY89 BA89 BC89 BE89">
    <cfRule type="colorScale" priority="894">
      <colorScale>
        <cfvo type="formula" val="0"/>
        <cfvo type="formula" val="1"/>
        <cfvo type="formula" val="2"/>
        <color rgb="FFFFFFFF"/>
        <color rgb="FFFFFF00"/>
        <color rgb="FF00B050"/>
      </colorScale>
    </cfRule>
  </conditionalFormatting>
  <conditionalFormatting sqref="AY89 BA89 BC89 BE89">
    <cfRule type="colorScale" priority="895">
      <colorScale>
        <cfvo type="min"/>
        <cfvo type="formula" val="1"/>
        <color theme="0"/>
        <color rgb="FF92D050"/>
      </colorScale>
    </cfRule>
  </conditionalFormatting>
  <conditionalFormatting sqref="BG89">
    <cfRule type="colorScale" priority="896">
      <colorScale>
        <cfvo type="formula" val="0"/>
        <cfvo type="formula" val="1"/>
        <cfvo type="formula" val="2"/>
        <color rgb="FFFFFFFF"/>
        <color rgb="FFFFFF00"/>
        <color rgb="FF00B050"/>
      </colorScale>
    </cfRule>
  </conditionalFormatting>
  <conditionalFormatting sqref="BG89">
    <cfRule type="colorScale" priority="897">
      <colorScale>
        <cfvo type="min"/>
        <cfvo type="formula" val="1"/>
        <color theme="0"/>
        <color rgb="FF92D050"/>
      </colorScale>
    </cfRule>
  </conditionalFormatting>
  <conditionalFormatting sqref="BI89">
    <cfRule type="colorScale" priority="898">
      <colorScale>
        <cfvo type="formula" val="0"/>
        <cfvo type="formula" val="1"/>
        <cfvo type="formula" val="2"/>
        <color rgb="FFFFFFFF"/>
        <color rgb="FFFFFF00"/>
        <color rgb="FF00B050"/>
      </colorScale>
    </cfRule>
  </conditionalFormatting>
  <conditionalFormatting sqref="BI89">
    <cfRule type="colorScale" priority="899">
      <colorScale>
        <cfvo type="min"/>
        <cfvo type="formula" val="1"/>
        <color theme="0"/>
        <color rgb="FF92D050"/>
      </colorScale>
    </cfRule>
  </conditionalFormatting>
  <conditionalFormatting sqref="AN89:BH89">
    <cfRule type="colorScale" priority="900">
      <colorScale>
        <cfvo type="formula" val="0"/>
        <cfvo type="formula" val="1"/>
        <cfvo type="formula" val="2"/>
        <color rgb="FFFFFFFF"/>
        <color rgb="FFFFFF00"/>
        <color rgb="FF00B050"/>
      </colorScale>
    </cfRule>
  </conditionalFormatting>
  <conditionalFormatting sqref="AT89">
    <cfRule type="colorScale" priority="901">
      <colorScale>
        <cfvo type="min"/>
        <cfvo type="formula" val="1"/>
        <color theme="0"/>
        <color rgb="FF92D050"/>
      </colorScale>
    </cfRule>
  </conditionalFormatting>
  <conditionalFormatting sqref="AT89">
    <cfRule type="colorScale" priority="902">
      <colorScale>
        <cfvo type="formula" val="0"/>
        <cfvo type="formula" val="1"/>
        <cfvo type="formula" val="2"/>
        <color rgb="FFFFFFFF"/>
        <color rgb="FFFFFF00"/>
        <color rgb="FF00B050"/>
      </colorScale>
    </cfRule>
  </conditionalFormatting>
  <conditionalFormatting sqref="AV89">
    <cfRule type="colorScale" priority="903">
      <colorScale>
        <cfvo type="min"/>
        <cfvo type="formula" val="1"/>
        <color theme="0"/>
        <color rgb="FF92D050"/>
      </colorScale>
    </cfRule>
  </conditionalFormatting>
  <conditionalFormatting sqref="AV89">
    <cfRule type="colorScale" priority="904">
      <colorScale>
        <cfvo type="formula" val="0"/>
        <cfvo type="formula" val="1"/>
        <cfvo type="formula" val="2"/>
        <color rgb="FFFFFFFF"/>
        <color rgb="FFFFFF00"/>
        <color rgb="FF00B050"/>
      </colorScale>
    </cfRule>
  </conditionalFormatting>
  <conditionalFormatting sqref="AX89">
    <cfRule type="colorScale" priority="905">
      <colorScale>
        <cfvo type="min"/>
        <cfvo type="formula" val="1"/>
        <color theme="0"/>
        <color rgb="FF92D050"/>
      </colorScale>
    </cfRule>
  </conditionalFormatting>
  <conditionalFormatting sqref="AX89">
    <cfRule type="colorScale" priority="906">
      <colorScale>
        <cfvo type="formula" val="0"/>
        <cfvo type="formula" val="1"/>
        <cfvo type="formula" val="2"/>
        <color rgb="FFFFFFFF"/>
        <color rgb="FFFFFF00"/>
        <color rgb="FF00B050"/>
      </colorScale>
    </cfRule>
  </conditionalFormatting>
  <conditionalFormatting sqref="AZ89">
    <cfRule type="colorScale" priority="907">
      <colorScale>
        <cfvo type="min"/>
        <cfvo type="formula" val="1"/>
        <color theme="0"/>
        <color rgb="FF92D050"/>
      </colorScale>
    </cfRule>
  </conditionalFormatting>
  <conditionalFormatting sqref="AZ89">
    <cfRule type="colorScale" priority="908">
      <colorScale>
        <cfvo type="formula" val="0"/>
        <cfvo type="formula" val="1"/>
        <cfvo type="formula" val="2"/>
        <color rgb="FFFFFFFF"/>
        <color rgb="FFFFFF00"/>
        <color rgb="FF00B050"/>
      </colorScale>
    </cfRule>
  </conditionalFormatting>
  <conditionalFormatting sqref="BB89">
    <cfRule type="colorScale" priority="909">
      <colorScale>
        <cfvo type="min"/>
        <cfvo type="formula" val="1"/>
        <color theme="0"/>
        <color rgb="FF92D050"/>
      </colorScale>
    </cfRule>
  </conditionalFormatting>
  <conditionalFormatting sqref="BB89">
    <cfRule type="colorScale" priority="910">
      <colorScale>
        <cfvo type="formula" val="0"/>
        <cfvo type="formula" val="1"/>
        <cfvo type="formula" val="2"/>
        <color rgb="FFFFFFFF"/>
        <color rgb="FFFFFF00"/>
        <color rgb="FF00B050"/>
      </colorScale>
    </cfRule>
  </conditionalFormatting>
  <conditionalFormatting sqref="BD89">
    <cfRule type="colorScale" priority="911">
      <colorScale>
        <cfvo type="min"/>
        <cfvo type="formula" val="1"/>
        <color theme="0"/>
        <color rgb="FF92D050"/>
      </colorScale>
    </cfRule>
  </conditionalFormatting>
  <conditionalFormatting sqref="BD89">
    <cfRule type="colorScale" priority="912">
      <colorScale>
        <cfvo type="formula" val="0"/>
        <cfvo type="formula" val="1"/>
        <cfvo type="formula" val="2"/>
        <color rgb="FFFFFFFF"/>
        <color rgb="FFFFFF00"/>
        <color rgb="FF00B050"/>
      </colorScale>
    </cfRule>
  </conditionalFormatting>
  <conditionalFormatting sqref="BF89">
    <cfRule type="colorScale" priority="913">
      <colorScale>
        <cfvo type="min"/>
        <cfvo type="formula" val="1"/>
        <color theme="0"/>
        <color rgb="FF92D050"/>
      </colorScale>
    </cfRule>
  </conditionalFormatting>
  <conditionalFormatting sqref="BF89">
    <cfRule type="colorScale" priority="914">
      <colorScale>
        <cfvo type="formula" val="0"/>
        <cfvo type="formula" val="1"/>
        <cfvo type="formula" val="2"/>
        <color rgb="FFFFFFFF"/>
        <color rgb="FFFFFF00"/>
        <color rgb="FF00B050"/>
      </colorScale>
    </cfRule>
  </conditionalFormatting>
  <conditionalFormatting sqref="BH89">
    <cfRule type="colorScale" priority="915">
      <colorScale>
        <cfvo type="min"/>
        <cfvo type="formula" val="1"/>
        <color theme="0"/>
        <color rgb="FF92D050"/>
      </colorScale>
    </cfRule>
  </conditionalFormatting>
  <conditionalFormatting sqref="BH89">
    <cfRule type="colorScale" priority="916">
      <colorScale>
        <cfvo type="formula" val="0"/>
        <cfvo type="formula" val="1"/>
        <cfvo type="formula" val="2"/>
        <color rgb="FFFFFFFF"/>
        <color rgb="FFFFFF00"/>
        <color rgb="FF00B050"/>
      </colorScale>
    </cfRule>
  </conditionalFormatting>
  <conditionalFormatting sqref="BJ89">
    <cfRule type="colorScale" priority="917">
      <colorScale>
        <cfvo type="min"/>
        <cfvo type="formula" val="1"/>
        <color theme="0"/>
        <color rgb="FF92D050"/>
      </colorScale>
    </cfRule>
  </conditionalFormatting>
  <conditionalFormatting sqref="BJ89">
    <cfRule type="colorScale" priority="918">
      <colorScale>
        <cfvo type="formula" val="0"/>
        <cfvo type="formula" val="1"/>
        <cfvo type="formula" val="2"/>
        <color rgb="FFFFFFFF"/>
        <color rgb="FFFFFF00"/>
        <color rgb="FF00B050"/>
      </colorScale>
    </cfRule>
  </conditionalFormatting>
  <conditionalFormatting sqref="AY95 BA95 BC95 BE95">
    <cfRule type="colorScale" priority="919">
      <colorScale>
        <cfvo type="formula" val="0"/>
        <cfvo type="formula" val="1"/>
        <cfvo type="formula" val="2"/>
        <color rgb="FFFFFFFF"/>
        <color rgb="FFFFFF00"/>
        <color rgb="FF00B050"/>
      </colorScale>
    </cfRule>
  </conditionalFormatting>
  <conditionalFormatting sqref="AY95 BA95 BC95 BE95">
    <cfRule type="colorScale" priority="920">
      <colorScale>
        <cfvo type="min"/>
        <cfvo type="formula" val="1"/>
        <color theme="0"/>
        <color rgb="FF92D050"/>
      </colorScale>
    </cfRule>
  </conditionalFormatting>
  <conditionalFormatting sqref="BG95">
    <cfRule type="colorScale" priority="921">
      <colorScale>
        <cfvo type="formula" val="0"/>
        <cfvo type="formula" val="1"/>
        <cfvo type="formula" val="2"/>
        <color rgb="FFFFFFFF"/>
        <color rgb="FFFFFF00"/>
        <color rgb="FF00B050"/>
      </colorScale>
    </cfRule>
  </conditionalFormatting>
  <conditionalFormatting sqref="BG95">
    <cfRule type="colorScale" priority="922">
      <colorScale>
        <cfvo type="min"/>
        <cfvo type="formula" val="1"/>
        <color theme="0"/>
        <color rgb="FF92D050"/>
      </colorScale>
    </cfRule>
  </conditionalFormatting>
  <conditionalFormatting sqref="BI95">
    <cfRule type="colorScale" priority="923">
      <colorScale>
        <cfvo type="formula" val="0"/>
        <cfvo type="formula" val="1"/>
        <cfvo type="formula" val="2"/>
        <color rgb="FFFFFFFF"/>
        <color rgb="FFFFFF00"/>
        <color rgb="FF00B050"/>
      </colorScale>
    </cfRule>
  </conditionalFormatting>
  <conditionalFormatting sqref="BI95">
    <cfRule type="colorScale" priority="924">
      <colorScale>
        <cfvo type="min"/>
        <cfvo type="formula" val="1"/>
        <color theme="0"/>
        <color rgb="FF92D050"/>
      </colorScale>
    </cfRule>
  </conditionalFormatting>
  <conditionalFormatting sqref="AN95:BH95">
    <cfRule type="colorScale" priority="925">
      <colorScale>
        <cfvo type="formula" val="0"/>
        <cfvo type="formula" val="1"/>
        <cfvo type="formula" val="2"/>
        <color rgb="FFFFFFFF"/>
        <color rgb="FFFFFF00"/>
        <color rgb="FF00B050"/>
      </colorScale>
    </cfRule>
  </conditionalFormatting>
  <conditionalFormatting sqref="AT95">
    <cfRule type="colorScale" priority="926">
      <colorScale>
        <cfvo type="min"/>
        <cfvo type="formula" val="1"/>
        <color theme="0"/>
        <color rgb="FF92D050"/>
      </colorScale>
    </cfRule>
  </conditionalFormatting>
  <conditionalFormatting sqref="AT95">
    <cfRule type="colorScale" priority="927">
      <colorScale>
        <cfvo type="formula" val="0"/>
        <cfvo type="formula" val="1"/>
        <cfvo type="formula" val="2"/>
        <color rgb="FFFFFFFF"/>
        <color rgb="FFFFFF00"/>
        <color rgb="FF00B050"/>
      </colorScale>
    </cfRule>
  </conditionalFormatting>
  <conditionalFormatting sqref="AV95">
    <cfRule type="colorScale" priority="928">
      <colorScale>
        <cfvo type="min"/>
        <cfvo type="formula" val="1"/>
        <color theme="0"/>
        <color rgb="FF92D050"/>
      </colorScale>
    </cfRule>
  </conditionalFormatting>
  <conditionalFormatting sqref="AV95">
    <cfRule type="colorScale" priority="929">
      <colorScale>
        <cfvo type="formula" val="0"/>
        <cfvo type="formula" val="1"/>
        <cfvo type="formula" val="2"/>
        <color rgb="FFFFFFFF"/>
        <color rgb="FFFFFF00"/>
        <color rgb="FF00B050"/>
      </colorScale>
    </cfRule>
  </conditionalFormatting>
  <conditionalFormatting sqref="AX95">
    <cfRule type="colorScale" priority="930">
      <colorScale>
        <cfvo type="min"/>
        <cfvo type="formula" val="1"/>
        <color theme="0"/>
        <color rgb="FF92D050"/>
      </colorScale>
    </cfRule>
  </conditionalFormatting>
  <conditionalFormatting sqref="AX95">
    <cfRule type="colorScale" priority="931">
      <colorScale>
        <cfvo type="formula" val="0"/>
        <cfvo type="formula" val="1"/>
        <cfvo type="formula" val="2"/>
        <color rgb="FFFFFFFF"/>
        <color rgb="FFFFFF00"/>
        <color rgb="FF00B050"/>
      </colorScale>
    </cfRule>
  </conditionalFormatting>
  <conditionalFormatting sqref="AZ95">
    <cfRule type="colorScale" priority="932">
      <colorScale>
        <cfvo type="min"/>
        <cfvo type="formula" val="1"/>
        <color theme="0"/>
        <color rgb="FF92D050"/>
      </colorScale>
    </cfRule>
  </conditionalFormatting>
  <conditionalFormatting sqref="AZ95">
    <cfRule type="colorScale" priority="933">
      <colorScale>
        <cfvo type="formula" val="0"/>
        <cfvo type="formula" val="1"/>
        <cfvo type="formula" val="2"/>
        <color rgb="FFFFFFFF"/>
        <color rgb="FFFFFF00"/>
        <color rgb="FF00B050"/>
      </colorScale>
    </cfRule>
  </conditionalFormatting>
  <conditionalFormatting sqref="BB95">
    <cfRule type="colorScale" priority="934">
      <colorScale>
        <cfvo type="min"/>
        <cfvo type="formula" val="1"/>
        <color theme="0"/>
        <color rgb="FF92D050"/>
      </colorScale>
    </cfRule>
  </conditionalFormatting>
  <conditionalFormatting sqref="BB95">
    <cfRule type="colorScale" priority="935">
      <colorScale>
        <cfvo type="formula" val="0"/>
        <cfvo type="formula" val="1"/>
        <cfvo type="formula" val="2"/>
        <color rgb="FFFFFFFF"/>
        <color rgb="FFFFFF00"/>
        <color rgb="FF00B050"/>
      </colorScale>
    </cfRule>
  </conditionalFormatting>
  <conditionalFormatting sqref="BD95">
    <cfRule type="colorScale" priority="936">
      <colorScale>
        <cfvo type="min"/>
        <cfvo type="formula" val="1"/>
        <color theme="0"/>
        <color rgb="FF92D050"/>
      </colorScale>
    </cfRule>
  </conditionalFormatting>
  <conditionalFormatting sqref="BD95">
    <cfRule type="colorScale" priority="937">
      <colorScale>
        <cfvo type="formula" val="0"/>
        <cfvo type="formula" val="1"/>
        <cfvo type="formula" val="2"/>
        <color rgb="FFFFFFFF"/>
        <color rgb="FFFFFF00"/>
        <color rgb="FF00B050"/>
      </colorScale>
    </cfRule>
  </conditionalFormatting>
  <conditionalFormatting sqref="BF95">
    <cfRule type="colorScale" priority="938">
      <colorScale>
        <cfvo type="min"/>
        <cfvo type="formula" val="1"/>
        <color theme="0"/>
        <color rgb="FF92D050"/>
      </colorScale>
    </cfRule>
  </conditionalFormatting>
  <conditionalFormatting sqref="BF95">
    <cfRule type="colorScale" priority="939">
      <colorScale>
        <cfvo type="formula" val="0"/>
        <cfvo type="formula" val="1"/>
        <cfvo type="formula" val="2"/>
        <color rgb="FFFFFFFF"/>
        <color rgb="FFFFFF00"/>
        <color rgb="FF00B050"/>
      </colorScale>
    </cfRule>
  </conditionalFormatting>
  <conditionalFormatting sqref="BH95">
    <cfRule type="colorScale" priority="940">
      <colorScale>
        <cfvo type="min"/>
        <cfvo type="formula" val="1"/>
        <color theme="0"/>
        <color rgb="FF92D050"/>
      </colorScale>
    </cfRule>
  </conditionalFormatting>
  <conditionalFormatting sqref="BH95">
    <cfRule type="colorScale" priority="941">
      <colorScale>
        <cfvo type="formula" val="0"/>
        <cfvo type="formula" val="1"/>
        <cfvo type="formula" val="2"/>
        <color rgb="FFFFFFFF"/>
        <color rgb="FFFFFF00"/>
        <color rgb="FF00B050"/>
      </colorScale>
    </cfRule>
  </conditionalFormatting>
  <conditionalFormatting sqref="BJ95">
    <cfRule type="colorScale" priority="942">
      <colorScale>
        <cfvo type="min"/>
        <cfvo type="formula" val="1"/>
        <color theme="0"/>
        <color rgb="FF92D050"/>
      </colorScale>
    </cfRule>
  </conditionalFormatting>
  <conditionalFormatting sqref="BJ95">
    <cfRule type="colorScale" priority="943">
      <colorScale>
        <cfvo type="formula" val="0"/>
        <cfvo type="formula" val="1"/>
        <cfvo type="formula" val="2"/>
        <color rgb="FFFFFFFF"/>
        <color rgb="FFFFFF00"/>
        <color rgb="FF00B050"/>
      </colorScale>
    </cfRule>
  </conditionalFormatting>
  <conditionalFormatting sqref="AY101 BA101 BC101 BE101">
    <cfRule type="colorScale" priority="944">
      <colorScale>
        <cfvo type="formula" val="0"/>
        <cfvo type="formula" val="1"/>
        <cfvo type="formula" val="2"/>
        <color rgb="FFFFFFFF"/>
        <color rgb="FFFFFF00"/>
        <color rgb="FF00B050"/>
      </colorScale>
    </cfRule>
  </conditionalFormatting>
  <conditionalFormatting sqref="AY101 BA101 BC101 BE101">
    <cfRule type="colorScale" priority="945">
      <colorScale>
        <cfvo type="min"/>
        <cfvo type="formula" val="1"/>
        <color theme="0"/>
        <color rgb="FF92D050"/>
      </colorScale>
    </cfRule>
  </conditionalFormatting>
  <conditionalFormatting sqref="BG101">
    <cfRule type="colorScale" priority="946">
      <colorScale>
        <cfvo type="formula" val="0"/>
        <cfvo type="formula" val="1"/>
        <cfvo type="formula" val="2"/>
        <color rgb="FFFFFFFF"/>
        <color rgb="FFFFFF00"/>
        <color rgb="FF00B050"/>
      </colorScale>
    </cfRule>
  </conditionalFormatting>
  <conditionalFormatting sqref="BG101">
    <cfRule type="colorScale" priority="947">
      <colorScale>
        <cfvo type="min"/>
        <cfvo type="formula" val="1"/>
        <color theme="0"/>
        <color rgb="FF92D050"/>
      </colorScale>
    </cfRule>
  </conditionalFormatting>
  <conditionalFormatting sqref="BI101">
    <cfRule type="colorScale" priority="948">
      <colorScale>
        <cfvo type="formula" val="0"/>
        <cfvo type="formula" val="1"/>
        <cfvo type="formula" val="2"/>
        <color rgb="FFFFFFFF"/>
        <color rgb="FFFFFF00"/>
        <color rgb="FF00B050"/>
      </colorScale>
    </cfRule>
  </conditionalFormatting>
  <conditionalFormatting sqref="BI101">
    <cfRule type="colorScale" priority="949">
      <colorScale>
        <cfvo type="min"/>
        <cfvo type="formula" val="1"/>
        <color theme="0"/>
        <color rgb="FF92D050"/>
      </colorScale>
    </cfRule>
  </conditionalFormatting>
  <conditionalFormatting sqref="AN101:BH101">
    <cfRule type="colorScale" priority="950">
      <colorScale>
        <cfvo type="formula" val="0"/>
        <cfvo type="formula" val="1"/>
        <cfvo type="formula" val="2"/>
        <color rgb="FFFFFFFF"/>
        <color rgb="FFFFFF00"/>
        <color rgb="FF00B050"/>
      </colorScale>
    </cfRule>
  </conditionalFormatting>
  <conditionalFormatting sqref="AT101">
    <cfRule type="colorScale" priority="951">
      <colorScale>
        <cfvo type="min"/>
        <cfvo type="formula" val="1"/>
        <color theme="0"/>
        <color rgb="FF92D050"/>
      </colorScale>
    </cfRule>
  </conditionalFormatting>
  <conditionalFormatting sqref="AT101">
    <cfRule type="colorScale" priority="952">
      <colorScale>
        <cfvo type="formula" val="0"/>
        <cfvo type="formula" val="1"/>
        <cfvo type="formula" val="2"/>
        <color rgb="FFFFFFFF"/>
        <color rgb="FFFFFF00"/>
        <color rgb="FF00B050"/>
      </colorScale>
    </cfRule>
  </conditionalFormatting>
  <conditionalFormatting sqref="AV101">
    <cfRule type="colorScale" priority="953">
      <colorScale>
        <cfvo type="min"/>
        <cfvo type="formula" val="1"/>
        <color theme="0"/>
        <color rgb="FF92D050"/>
      </colorScale>
    </cfRule>
  </conditionalFormatting>
  <conditionalFormatting sqref="AV101">
    <cfRule type="colorScale" priority="954">
      <colorScale>
        <cfvo type="formula" val="0"/>
        <cfvo type="formula" val="1"/>
        <cfvo type="formula" val="2"/>
        <color rgb="FFFFFFFF"/>
        <color rgb="FFFFFF00"/>
        <color rgb="FF00B050"/>
      </colorScale>
    </cfRule>
  </conditionalFormatting>
  <conditionalFormatting sqref="AX101">
    <cfRule type="colorScale" priority="955">
      <colorScale>
        <cfvo type="min"/>
        <cfvo type="formula" val="1"/>
        <color theme="0"/>
        <color rgb="FF92D050"/>
      </colorScale>
    </cfRule>
  </conditionalFormatting>
  <conditionalFormatting sqref="AX101">
    <cfRule type="colorScale" priority="956">
      <colorScale>
        <cfvo type="formula" val="0"/>
        <cfvo type="formula" val="1"/>
        <cfvo type="formula" val="2"/>
        <color rgb="FFFFFFFF"/>
        <color rgb="FFFFFF00"/>
        <color rgb="FF00B050"/>
      </colorScale>
    </cfRule>
  </conditionalFormatting>
  <conditionalFormatting sqref="AZ101">
    <cfRule type="colorScale" priority="957">
      <colorScale>
        <cfvo type="min"/>
        <cfvo type="formula" val="1"/>
        <color theme="0"/>
        <color rgb="FF92D050"/>
      </colorScale>
    </cfRule>
  </conditionalFormatting>
  <conditionalFormatting sqref="AZ101">
    <cfRule type="colorScale" priority="958">
      <colorScale>
        <cfvo type="formula" val="0"/>
        <cfvo type="formula" val="1"/>
        <cfvo type="formula" val="2"/>
        <color rgb="FFFFFFFF"/>
        <color rgb="FFFFFF00"/>
        <color rgb="FF00B050"/>
      </colorScale>
    </cfRule>
  </conditionalFormatting>
  <conditionalFormatting sqref="BB101">
    <cfRule type="colorScale" priority="959">
      <colorScale>
        <cfvo type="min"/>
        <cfvo type="formula" val="1"/>
        <color theme="0"/>
        <color rgb="FF92D050"/>
      </colorScale>
    </cfRule>
  </conditionalFormatting>
  <conditionalFormatting sqref="BB101">
    <cfRule type="colorScale" priority="960">
      <colorScale>
        <cfvo type="formula" val="0"/>
        <cfvo type="formula" val="1"/>
        <cfvo type="formula" val="2"/>
        <color rgb="FFFFFFFF"/>
        <color rgb="FFFFFF00"/>
        <color rgb="FF00B050"/>
      </colorScale>
    </cfRule>
  </conditionalFormatting>
  <conditionalFormatting sqref="BD101">
    <cfRule type="colorScale" priority="961">
      <colorScale>
        <cfvo type="min"/>
        <cfvo type="formula" val="1"/>
        <color theme="0"/>
        <color rgb="FF92D050"/>
      </colorScale>
    </cfRule>
  </conditionalFormatting>
  <conditionalFormatting sqref="BD101">
    <cfRule type="colorScale" priority="962">
      <colorScale>
        <cfvo type="formula" val="0"/>
        <cfvo type="formula" val="1"/>
        <cfvo type="formula" val="2"/>
        <color rgb="FFFFFFFF"/>
        <color rgb="FFFFFF00"/>
        <color rgb="FF00B050"/>
      </colorScale>
    </cfRule>
  </conditionalFormatting>
  <conditionalFormatting sqref="BF101">
    <cfRule type="colorScale" priority="963">
      <colorScale>
        <cfvo type="min"/>
        <cfvo type="formula" val="1"/>
        <color theme="0"/>
        <color rgb="FF92D050"/>
      </colorScale>
    </cfRule>
  </conditionalFormatting>
  <conditionalFormatting sqref="BF101">
    <cfRule type="colorScale" priority="964">
      <colorScale>
        <cfvo type="formula" val="0"/>
        <cfvo type="formula" val="1"/>
        <cfvo type="formula" val="2"/>
        <color rgb="FFFFFFFF"/>
        <color rgb="FFFFFF00"/>
        <color rgb="FF00B050"/>
      </colorScale>
    </cfRule>
  </conditionalFormatting>
  <conditionalFormatting sqref="BH101">
    <cfRule type="colorScale" priority="965">
      <colorScale>
        <cfvo type="min"/>
        <cfvo type="formula" val="1"/>
        <color theme="0"/>
        <color rgb="FF92D050"/>
      </colorScale>
    </cfRule>
  </conditionalFormatting>
  <conditionalFormatting sqref="BH101">
    <cfRule type="colorScale" priority="966">
      <colorScale>
        <cfvo type="formula" val="0"/>
        <cfvo type="formula" val="1"/>
        <cfvo type="formula" val="2"/>
        <color rgb="FFFFFFFF"/>
        <color rgb="FFFFFF00"/>
        <color rgb="FF00B050"/>
      </colorScale>
    </cfRule>
  </conditionalFormatting>
  <conditionalFormatting sqref="BJ101">
    <cfRule type="colorScale" priority="967">
      <colorScale>
        <cfvo type="min"/>
        <cfvo type="formula" val="1"/>
        <color theme="0"/>
        <color rgb="FF92D050"/>
      </colorScale>
    </cfRule>
  </conditionalFormatting>
  <conditionalFormatting sqref="BJ101">
    <cfRule type="colorScale" priority="968">
      <colorScale>
        <cfvo type="formula" val="0"/>
        <cfvo type="formula" val="1"/>
        <cfvo type="formula" val="2"/>
        <color rgb="FFFFFFFF"/>
        <color rgb="FFFFFF00"/>
        <color rgb="FF00B050"/>
      </colorScale>
    </cfRule>
  </conditionalFormatting>
  <conditionalFormatting sqref="AY107 BA107 BC107 BE107">
    <cfRule type="colorScale" priority="969">
      <colorScale>
        <cfvo type="formula" val="0"/>
        <cfvo type="formula" val="1"/>
        <cfvo type="formula" val="2"/>
        <color rgb="FFFFFFFF"/>
        <color rgb="FFFFFF00"/>
        <color rgb="FF00B050"/>
      </colorScale>
    </cfRule>
  </conditionalFormatting>
  <conditionalFormatting sqref="AY107 BA107 BC107 BE107">
    <cfRule type="colorScale" priority="970">
      <colorScale>
        <cfvo type="min"/>
        <cfvo type="formula" val="1"/>
        <color theme="0"/>
        <color rgb="FF92D050"/>
      </colorScale>
    </cfRule>
  </conditionalFormatting>
  <conditionalFormatting sqref="BG107">
    <cfRule type="colorScale" priority="971">
      <colorScale>
        <cfvo type="formula" val="0"/>
        <cfvo type="formula" val="1"/>
        <cfvo type="formula" val="2"/>
        <color rgb="FFFFFFFF"/>
        <color rgb="FFFFFF00"/>
        <color rgb="FF00B050"/>
      </colorScale>
    </cfRule>
  </conditionalFormatting>
  <conditionalFormatting sqref="BG107">
    <cfRule type="colorScale" priority="972">
      <colorScale>
        <cfvo type="min"/>
        <cfvo type="formula" val="1"/>
        <color theme="0"/>
        <color rgb="FF92D050"/>
      </colorScale>
    </cfRule>
  </conditionalFormatting>
  <conditionalFormatting sqref="BI107">
    <cfRule type="colorScale" priority="973">
      <colorScale>
        <cfvo type="formula" val="0"/>
        <cfvo type="formula" val="1"/>
        <cfvo type="formula" val="2"/>
        <color rgb="FFFFFFFF"/>
        <color rgb="FFFFFF00"/>
        <color rgb="FF00B050"/>
      </colorScale>
    </cfRule>
  </conditionalFormatting>
  <conditionalFormatting sqref="BI107">
    <cfRule type="colorScale" priority="974">
      <colorScale>
        <cfvo type="min"/>
        <cfvo type="formula" val="1"/>
        <color theme="0"/>
        <color rgb="FF92D050"/>
      </colorScale>
    </cfRule>
  </conditionalFormatting>
  <conditionalFormatting sqref="AT107:BH107">
    <cfRule type="colorScale" priority="975">
      <colorScale>
        <cfvo type="formula" val="0"/>
        <cfvo type="formula" val="1"/>
        <cfvo type="formula" val="2"/>
        <color rgb="FFFFFFFF"/>
        <color rgb="FFFFFF00"/>
        <color rgb="FF00B050"/>
      </colorScale>
    </cfRule>
  </conditionalFormatting>
  <conditionalFormatting sqref="AT107">
    <cfRule type="colorScale" priority="976">
      <colorScale>
        <cfvo type="min"/>
        <cfvo type="formula" val="1"/>
        <color theme="0"/>
        <color rgb="FF92D050"/>
      </colorScale>
    </cfRule>
  </conditionalFormatting>
  <conditionalFormatting sqref="AV107">
    <cfRule type="colorScale" priority="977">
      <colorScale>
        <cfvo type="min"/>
        <cfvo type="formula" val="1"/>
        <color theme="0"/>
        <color rgb="FF92D050"/>
      </colorScale>
    </cfRule>
  </conditionalFormatting>
  <conditionalFormatting sqref="AV107">
    <cfRule type="colorScale" priority="978">
      <colorScale>
        <cfvo type="formula" val="0"/>
        <cfvo type="formula" val="1"/>
        <cfvo type="formula" val="2"/>
        <color rgb="FFFFFFFF"/>
        <color rgb="FFFFFF00"/>
        <color rgb="FF00B050"/>
      </colorScale>
    </cfRule>
  </conditionalFormatting>
  <conditionalFormatting sqref="AX107">
    <cfRule type="colorScale" priority="979">
      <colorScale>
        <cfvo type="min"/>
        <cfvo type="formula" val="1"/>
        <color theme="0"/>
        <color rgb="FF92D050"/>
      </colorScale>
    </cfRule>
  </conditionalFormatting>
  <conditionalFormatting sqref="AX107">
    <cfRule type="colorScale" priority="980">
      <colorScale>
        <cfvo type="formula" val="0"/>
        <cfvo type="formula" val="1"/>
        <cfvo type="formula" val="2"/>
        <color rgb="FFFFFFFF"/>
        <color rgb="FFFFFF00"/>
        <color rgb="FF00B050"/>
      </colorScale>
    </cfRule>
  </conditionalFormatting>
  <conditionalFormatting sqref="AZ107">
    <cfRule type="colorScale" priority="981">
      <colorScale>
        <cfvo type="min"/>
        <cfvo type="formula" val="1"/>
        <color theme="0"/>
        <color rgb="FF92D050"/>
      </colorScale>
    </cfRule>
  </conditionalFormatting>
  <conditionalFormatting sqref="AZ107">
    <cfRule type="colorScale" priority="982">
      <colorScale>
        <cfvo type="formula" val="0"/>
        <cfvo type="formula" val="1"/>
        <cfvo type="formula" val="2"/>
        <color rgb="FFFFFFFF"/>
        <color rgb="FFFFFF00"/>
        <color rgb="FF00B050"/>
      </colorScale>
    </cfRule>
  </conditionalFormatting>
  <conditionalFormatting sqref="BB107">
    <cfRule type="colorScale" priority="983">
      <colorScale>
        <cfvo type="min"/>
        <cfvo type="formula" val="1"/>
        <color theme="0"/>
        <color rgb="FF92D050"/>
      </colorScale>
    </cfRule>
  </conditionalFormatting>
  <conditionalFormatting sqref="BB107">
    <cfRule type="colorScale" priority="984">
      <colorScale>
        <cfvo type="formula" val="0"/>
        <cfvo type="formula" val="1"/>
        <cfvo type="formula" val="2"/>
        <color rgb="FFFFFFFF"/>
        <color rgb="FFFFFF00"/>
        <color rgb="FF00B050"/>
      </colorScale>
    </cfRule>
  </conditionalFormatting>
  <conditionalFormatting sqref="BD107">
    <cfRule type="colorScale" priority="985">
      <colorScale>
        <cfvo type="min"/>
        <cfvo type="formula" val="1"/>
        <color theme="0"/>
        <color rgb="FF92D050"/>
      </colorScale>
    </cfRule>
  </conditionalFormatting>
  <conditionalFormatting sqref="BD107">
    <cfRule type="colorScale" priority="986">
      <colorScale>
        <cfvo type="formula" val="0"/>
        <cfvo type="formula" val="1"/>
        <cfvo type="formula" val="2"/>
        <color rgb="FFFFFFFF"/>
        <color rgb="FFFFFF00"/>
        <color rgb="FF00B050"/>
      </colorScale>
    </cfRule>
  </conditionalFormatting>
  <conditionalFormatting sqref="BF107">
    <cfRule type="colorScale" priority="987">
      <colorScale>
        <cfvo type="min"/>
        <cfvo type="formula" val="1"/>
        <color theme="0"/>
        <color rgb="FF92D050"/>
      </colorScale>
    </cfRule>
  </conditionalFormatting>
  <conditionalFormatting sqref="BF107">
    <cfRule type="colorScale" priority="988">
      <colorScale>
        <cfvo type="formula" val="0"/>
        <cfvo type="formula" val="1"/>
        <cfvo type="formula" val="2"/>
        <color rgb="FFFFFFFF"/>
        <color rgb="FFFFFF00"/>
        <color rgb="FF00B050"/>
      </colorScale>
    </cfRule>
  </conditionalFormatting>
  <conditionalFormatting sqref="BH107">
    <cfRule type="colorScale" priority="989">
      <colorScale>
        <cfvo type="min"/>
        <cfvo type="formula" val="1"/>
        <color theme="0"/>
        <color rgb="FF92D050"/>
      </colorScale>
    </cfRule>
  </conditionalFormatting>
  <conditionalFormatting sqref="BH107">
    <cfRule type="colorScale" priority="990">
      <colorScale>
        <cfvo type="formula" val="0"/>
        <cfvo type="formula" val="1"/>
        <cfvo type="formula" val="2"/>
        <color rgb="FFFFFFFF"/>
        <color rgb="FFFFFF00"/>
        <color rgb="FF00B050"/>
      </colorScale>
    </cfRule>
  </conditionalFormatting>
  <conditionalFormatting sqref="BJ107">
    <cfRule type="colorScale" priority="991">
      <colorScale>
        <cfvo type="min"/>
        <cfvo type="formula" val="1"/>
        <color theme="0"/>
        <color rgb="FF92D050"/>
      </colorScale>
    </cfRule>
  </conditionalFormatting>
  <conditionalFormatting sqref="BJ107">
    <cfRule type="colorScale" priority="992">
      <colorScale>
        <cfvo type="formula" val="0"/>
        <cfvo type="formula" val="1"/>
        <cfvo type="formula" val="2"/>
        <color rgb="FFFFFFFF"/>
        <color rgb="FFFFFF00"/>
        <color rgb="FF00B050"/>
      </colorScale>
    </cfRule>
  </conditionalFormatting>
  <conditionalFormatting sqref="AY113 BA113 BC113 BE113">
    <cfRule type="colorScale" priority="993">
      <colorScale>
        <cfvo type="formula" val="0"/>
        <cfvo type="formula" val="1"/>
        <cfvo type="formula" val="2"/>
        <color rgb="FFFFFFFF"/>
        <color rgb="FFFFFF00"/>
        <color rgb="FF00B050"/>
      </colorScale>
    </cfRule>
  </conditionalFormatting>
  <conditionalFormatting sqref="AY113 BA113 BC113 BE113">
    <cfRule type="colorScale" priority="994">
      <colorScale>
        <cfvo type="min"/>
        <cfvo type="formula" val="1"/>
        <color theme="0"/>
        <color rgb="FF92D050"/>
      </colorScale>
    </cfRule>
  </conditionalFormatting>
  <conditionalFormatting sqref="BG113">
    <cfRule type="colorScale" priority="995">
      <colorScale>
        <cfvo type="formula" val="0"/>
        <cfvo type="formula" val="1"/>
        <cfvo type="formula" val="2"/>
        <color rgb="FFFFFFFF"/>
        <color rgb="FFFFFF00"/>
        <color rgb="FF00B050"/>
      </colorScale>
    </cfRule>
  </conditionalFormatting>
  <conditionalFormatting sqref="BG113">
    <cfRule type="colorScale" priority="996">
      <colorScale>
        <cfvo type="min"/>
        <cfvo type="formula" val="1"/>
        <color theme="0"/>
        <color rgb="FF92D050"/>
      </colorScale>
    </cfRule>
  </conditionalFormatting>
  <conditionalFormatting sqref="BI113">
    <cfRule type="colorScale" priority="997">
      <colorScale>
        <cfvo type="formula" val="0"/>
        <cfvo type="formula" val="1"/>
        <cfvo type="formula" val="2"/>
        <color rgb="FFFFFFFF"/>
        <color rgb="FFFFFF00"/>
        <color rgb="FF00B050"/>
      </colorScale>
    </cfRule>
  </conditionalFormatting>
  <conditionalFormatting sqref="BI113">
    <cfRule type="colorScale" priority="998">
      <colorScale>
        <cfvo type="min"/>
        <cfvo type="formula" val="1"/>
        <color theme="0"/>
        <color rgb="FF92D050"/>
      </colorScale>
    </cfRule>
  </conditionalFormatting>
  <conditionalFormatting sqref="AT113">
    <cfRule type="colorScale" priority="999">
      <colorScale>
        <cfvo type="min"/>
        <cfvo type="formula" val="1"/>
        <color theme="0"/>
        <color rgb="FF92D050"/>
      </colorScale>
    </cfRule>
  </conditionalFormatting>
  <conditionalFormatting sqref="AT113">
    <cfRule type="colorScale" priority="1000">
      <colorScale>
        <cfvo type="formula" val="0"/>
        <cfvo type="formula" val="1"/>
        <cfvo type="formula" val="2"/>
        <color rgb="FFFFFFFF"/>
        <color rgb="FFFFFF00"/>
        <color rgb="FF00B050"/>
      </colorScale>
    </cfRule>
  </conditionalFormatting>
  <conditionalFormatting sqref="AV113">
    <cfRule type="colorScale" priority="1001">
      <colorScale>
        <cfvo type="min"/>
        <cfvo type="formula" val="1"/>
        <color theme="0"/>
        <color rgb="FF92D050"/>
      </colorScale>
    </cfRule>
  </conditionalFormatting>
  <conditionalFormatting sqref="AV113">
    <cfRule type="colorScale" priority="1002">
      <colorScale>
        <cfvo type="formula" val="0"/>
        <cfvo type="formula" val="1"/>
        <cfvo type="formula" val="2"/>
        <color rgb="FFFFFFFF"/>
        <color rgb="FFFFFF00"/>
        <color rgb="FF00B050"/>
      </colorScale>
    </cfRule>
  </conditionalFormatting>
  <conditionalFormatting sqref="AX113">
    <cfRule type="colorScale" priority="1003">
      <colorScale>
        <cfvo type="min"/>
        <cfvo type="formula" val="1"/>
        <color theme="0"/>
        <color rgb="FF92D050"/>
      </colorScale>
    </cfRule>
  </conditionalFormatting>
  <conditionalFormatting sqref="AX113">
    <cfRule type="colorScale" priority="1004">
      <colorScale>
        <cfvo type="formula" val="0"/>
        <cfvo type="formula" val="1"/>
        <cfvo type="formula" val="2"/>
        <color rgb="FFFFFFFF"/>
        <color rgb="FFFFFF00"/>
        <color rgb="FF00B050"/>
      </colorScale>
    </cfRule>
  </conditionalFormatting>
  <conditionalFormatting sqref="AZ113">
    <cfRule type="colorScale" priority="1005">
      <colorScale>
        <cfvo type="min"/>
        <cfvo type="formula" val="1"/>
        <color theme="0"/>
        <color rgb="FF92D050"/>
      </colorScale>
    </cfRule>
  </conditionalFormatting>
  <conditionalFormatting sqref="AZ113">
    <cfRule type="colorScale" priority="1006">
      <colorScale>
        <cfvo type="formula" val="0"/>
        <cfvo type="formula" val="1"/>
        <cfvo type="formula" val="2"/>
        <color rgb="FFFFFFFF"/>
        <color rgb="FFFFFF00"/>
        <color rgb="FF00B050"/>
      </colorScale>
    </cfRule>
  </conditionalFormatting>
  <conditionalFormatting sqref="BB113">
    <cfRule type="colorScale" priority="1007">
      <colorScale>
        <cfvo type="min"/>
        <cfvo type="formula" val="1"/>
        <color theme="0"/>
        <color rgb="FF92D050"/>
      </colorScale>
    </cfRule>
  </conditionalFormatting>
  <conditionalFormatting sqref="BB113">
    <cfRule type="colorScale" priority="1008">
      <colorScale>
        <cfvo type="formula" val="0"/>
        <cfvo type="formula" val="1"/>
        <cfvo type="formula" val="2"/>
        <color rgb="FFFFFFFF"/>
        <color rgb="FFFFFF00"/>
        <color rgb="FF00B050"/>
      </colorScale>
    </cfRule>
  </conditionalFormatting>
  <conditionalFormatting sqref="BD113">
    <cfRule type="colorScale" priority="1009">
      <colorScale>
        <cfvo type="min"/>
        <cfvo type="formula" val="1"/>
        <color theme="0"/>
        <color rgb="FF92D050"/>
      </colorScale>
    </cfRule>
  </conditionalFormatting>
  <conditionalFormatting sqref="BD113">
    <cfRule type="colorScale" priority="1010">
      <colorScale>
        <cfvo type="formula" val="0"/>
        <cfvo type="formula" val="1"/>
        <cfvo type="formula" val="2"/>
        <color rgb="FFFFFFFF"/>
        <color rgb="FFFFFF00"/>
        <color rgb="FF00B050"/>
      </colorScale>
    </cfRule>
  </conditionalFormatting>
  <conditionalFormatting sqref="BF113">
    <cfRule type="colorScale" priority="1011">
      <colorScale>
        <cfvo type="min"/>
        <cfvo type="formula" val="1"/>
        <color theme="0"/>
        <color rgb="FF92D050"/>
      </colorScale>
    </cfRule>
  </conditionalFormatting>
  <conditionalFormatting sqref="BF113">
    <cfRule type="colorScale" priority="1012">
      <colorScale>
        <cfvo type="formula" val="0"/>
        <cfvo type="formula" val="1"/>
        <cfvo type="formula" val="2"/>
        <color rgb="FFFFFFFF"/>
        <color rgb="FFFFFF00"/>
        <color rgb="FF00B050"/>
      </colorScale>
    </cfRule>
  </conditionalFormatting>
  <conditionalFormatting sqref="BH113">
    <cfRule type="colorScale" priority="1013">
      <colorScale>
        <cfvo type="min"/>
        <cfvo type="formula" val="1"/>
        <color theme="0"/>
        <color rgb="FF92D050"/>
      </colorScale>
    </cfRule>
  </conditionalFormatting>
  <conditionalFormatting sqref="BH113">
    <cfRule type="colorScale" priority="1014">
      <colorScale>
        <cfvo type="formula" val="0"/>
        <cfvo type="formula" val="1"/>
        <cfvo type="formula" val="2"/>
        <color rgb="FFFFFFFF"/>
        <color rgb="FFFFFF00"/>
        <color rgb="FF00B050"/>
      </colorScale>
    </cfRule>
  </conditionalFormatting>
  <conditionalFormatting sqref="BJ113">
    <cfRule type="colorScale" priority="1015">
      <colorScale>
        <cfvo type="min"/>
        <cfvo type="formula" val="1"/>
        <color theme="0"/>
        <color rgb="FF92D050"/>
      </colorScale>
    </cfRule>
  </conditionalFormatting>
  <conditionalFormatting sqref="BJ113">
    <cfRule type="colorScale" priority="1016">
      <colorScale>
        <cfvo type="formula" val="0"/>
        <cfvo type="formula" val="1"/>
        <cfvo type="formula" val="2"/>
        <color rgb="FFFFFFFF"/>
        <color rgb="FFFFFF00"/>
        <color rgb="FF00B050"/>
      </colorScale>
    </cfRule>
  </conditionalFormatting>
  <conditionalFormatting sqref="AY119 BA119 BC119 BE119">
    <cfRule type="colorScale" priority="1017">
      <colorScale>
        <cfvo type="formula" val="0"/>
        <cfvo type="formula" val="1"/>
        <cfvo type="formula" val="2"/>
        <color rgb="FFFFFFFF"/>
        <color rgb="FFFFFF00"/>
        <color rgb="FF00B050"/>
      </colorScale>
    </cfRule>
  </conditionalFormatting>
  <conditionalFormatting sqref="AY119 BA119 BC119 BE119">
    <cfRule type="colorScale" priority="1018">
      <colorScale>
        <cfvo type="min"/>
        <cfvo type="formula" val="1"/>
        <color theme="0"/>
        <color rgb="FF92D050"/>
      </colorScale>
    </cfRule>
  </conditionalFormatting>
  <conditionalFormatting sqref="BG119">
    <cfRule type="colorScale" priority="1019">
      <colorScale>
        <cfvo type="formula" val="0"/>
        <cfvo type="formula" val="1"/>
        <cfvo type="formula" val="2"/>
        <color rgb="FFFFFFFF"/>
        <color rgb="FFFFFF00"/>
        <color rgb="FF00B050"/>
      </colorScale>
    </cfRule>
  </conditionalFormatting>
  <conditionalFormatting sqref="BG119">
    <cfRule type="colorScale" priority="1020">
      <colorScale>
        <cfvo type="min"/>
        <cfvo type="formula" val="1"/>
        <color theme="0"/>
        <color rgb="FF92D050"/>
      </colorScale>
    </cfRule>
  </conditionalFormatting>
  <conditionalFormatting sqref="BI119">
    <cfRule type="colorScale" priority="1021">
      <colorScale>
        <cfvo type="formula" val="0"/>
        <cfvo type="formula" val="1"/>
        <cfvo type="formula" val="2"/>
        <color rgb="FFFFFFFF"/>
        <color rgb="FFFFFF00"/>
        <color rgb="FF00B050"/>
      </colorScale>
    </cfRule>
  </conditionalFormatting>
  <conditionalFormatting sqref="BI119">
    <cfRule type="colorScale" priority="1022">
      <colorScale>
        <cfvo type="min"/>
        <cfvo type="formula" val="1"/>
        <color theme="0"/>
        <color rgb="FF92D050"/>
      </colorScale>
    </cfRule>
  </conditionalFormatting>
  <conditionalFormatting sqref="AT119">
    <cfRule type="colorScale" priority="1023">
      <colorScale>
        <cfvo type="min"/>
        <cfvo type="formula" val="1"/>
        <color theme="0"/>
        <color rgb="FF92D050"/>
      </colorScale>
    </cfRule>
  </conditionalFormatting>
  <conditionalFormatting sqref="AT119">
    <cfRule type="colorScale" priority="1024">
      <colorScale>
        <cfvo type="formula" val="0"/>
        <cfvo type="formula" val="1"/>
        <cfvo type="formula" val="2"/>
        <color rgb="FFFFFFFF"/>
        <color rgb="FFFFFF00"/>
        <color rgb="FF00B050"/>
      </colorScale>
    </cfRule>
  </conditionalFormatting>
  <conditionalFormatting sqref="AX119">
    <cfRule type="colorScale" priority="1025">
      <colorScale>
        <cfvo type="min"/>
        <cfvo type="formula" val="1"/>
        <color theme="0"/>
        <color rgb="FF92D050"/>
      </colorScale>
    </cfRule>
  </conditionalFormatting>
  <conditionalFormatting sqref="AX119">
    <cfRule type="colorScale" priority="1026">
      <colorScale>
        <cfvo type="formula" val="0"/>
        <cfvo type="formula" val="1"/>
        <cfvo type="formula" val="2"/>
        <color rgb="FFFFFFFF"/>
        <color rgb="FFFFFF00"/>
        <color rgb="FF00B050"/>
      </colorScale>
    </cfRule>
  </conditionalFormatting>
  <conditionalFormatting sqref="AZ119">
    <cfRule type="colorScale" priority="1027">
      <colorScale>
        <cfvo type="min"/>
        <cfvo type="formula" val="1"/>
        <color theme="0"/>
        <color rgb="FF92D050"/>
      </colorScale>
    </cfRule>
  </conditionalFormatting>
  <conditionalFormatting sqref="AZ119">
    <cfRule type="colorScale" priority="1028">
      <colorScale>
        <cfvo type="formula" val="0"/>
        <cfvo type="formula" val="1"/>
        <cfvo type="formula" val="2"/>
        <color rgb="FFFFFFFF"/>
        <color rgb="FFFFFF00"/>
        <color rgb="FF00B050"/>
      </colorScale>
    </cfRule>
  </conditionalFormatting>
  <conditionalFormatting sqref="BB119">
    <cfRule type="colorScale" priority="1029">
      <colorScale>
        <cfvo type="min"/>
        <cfvo type="formula" val="1"/>
        <color theme="0"/>
        <color rgb="FF92D050"/>
      </colorScale>
    </cfRule>
  </conditionalFormatting>
  <conditionalFormatting sqref="BB119">
    <cfRule type="colorScale" priority="1030">
      <colorScale>
        <cfvo type="formula" val="0"/>
        <cfvo type="formula" val="1"/>
        <cfvo type="formula" val="2"/>
        <color rgb="FFFFFFFF"/>
        <color rgb="FFFFFF00"/>
        <color rgb="FF00B050"/>
      </colorScale>
    </cfRule>
  </conditionalFormatting>
  <conditionalFormatting sqref="BD119">
    <cfRule type="colorScale" priority="1031">
      <colorScale>
        <cfvo type="min"/>
        <cfvo type="formula" val="1"/>
        <color theme="0"/>
        <color rgb="FF92D050"/>
      </colorScale>
    </cfRule>
  </conditionalFormatting>
  <conditionalFormatting sqref="BD119">
    <cfRule type="colorScale" priority="1032">
      <colorScale>
        <cfvo type="formula" val="0"/>
        <cfvo type="formula" val="1"/>
        <cfvo type="formula" val="2"/>
        <color rgb="FFFFFFFF"/>
        <color rgb="FFFFFF00"/>
        <color rgb="FF00B050"/>
      </colorScale>
    </cfRule>
  </conditionalFormatting>
  <conditionalFormatting sqref="BF119">
    <cfRule type="colorScale" priority="1033">
      <colorScale>
        <cfvo type="min"/>
        <cfvo type="formula" val="1"/>
        <color theme="0"/>
        <color rgb="FF92D050"/>
      </colorScale>
    </cfRule>
  </conditionalFormatting>
  <conditionalFormatting sqref="BF119">
    <cfRule type="colorScale" priority="1034">
      <colorScale>
        <cfvo type="formula" val="0"/>
        <cfvo type="formula" val="1"/>
        <cfvo type="formula" val="2"/>
        <color rgb="FFFFFFFF"/>
        <color rgb="FFFFFF00"/>
        <color rgb="FF00B050"/>
      </colorScale>
    </cfRule>
  </conditionalFormatting>
  <conditionalFormatting sqref="BH119">
    <cfRule type="colorScale" priority="1035">
      <colorScale>
        <cfvo type="min"/>
        <cfvo type="formula" val="1"/>
        <color theme="0"/>
        <color rgb="FF92D050"/>
      </colorScale>
    </cfRule>
  </conditionalFormatting>
  <conditionalFormatting sqref="BH119">
    <cfRule type="colorScale" priority="1036">
      <colorScale>
        <cfvo type="formula" val="0"/>
        <cfvo type="formula" val="1"/>
        <cfvo type="formula" val="2"/>
        <color rgb="FFFFFFFF"/>
        <color rgb="FFFFFF00"/>
        <color rgb="FF00B050"/>
      </colorScale>
    </cfRule>
  </conditionalFormatting>
  <conditionalFormatting sqref="BJ119">
    <cfRule type="colorScale" priority="1037">
      <colorScale>
        <cfvo type="min"/>
        <cfvo type="formula" val="1"/>
        <color theme="0"/>
        <color rgb="FF92D050"/>
      </colorScale>
    </cfRule>
  </conditionalFormatting>
  <conditionalFormatting sqref="BJ119">
    <cfRule type="colorScale" priority="1038">
      <colorScale>
        <cfvo type="formula" val="0"/>
        <cfvo type="formula" val="1"/>
        <cfvo type="formula" val="2"/>
        <color rgb="FFFFFFFF"/>
        <color rgb="FFFFFF00"/>
        <color rgb="FF00B050"/>
      </colorScale>
    </cfRule>
  </conditionalFormatting>
  <conditionalFormatting sqref="AN34">
    <cfRule type="colorScale" priority="1039">
      <colorScale>
        <cfvo type="min"/>
        <cfvo type="formula" val="1"/>
        <color theme="0"/>
        <color rgb="FF92D050"/>
      </colorScale>
    </cfRule>
  </conditionalFormatting>
  <conditionalFormatting sqref="AN34">
    <cfRule type="colorScale" priority="1040">
      <colorScale>
        <cfvo type="formula" val="0"/>
        <cfvo type="formula" val="1"/>
        <cfvo type="formula" val="2"/>
        <color rgb="FFFFFFFF"/>
        <color rgb="FFFFFF00"/>
        <color rgb="FF00B050"/>
      </colorScale>
    </cfRule>
  </conditionalFormatting>
  <conditionalFormatting sqref="AN41">
    <cfRule type="colorScale" priority="1041">
      <colorScale>
        <cfvo type="formula" val="0"/>
        <cfvo type="formula" val="1"/>
        <cfvo type="formula" val="2"/>
        <color rgb="FFFFFFFF"/>
        <color rgb="FFFFFF00"/>
        <color rgb="FF00B050"/>
      </colorScale>
    </cfRule>
  </conditionalFormatting>
  <conditionalFormatting sqref="AN41">
    <cfRule type="colorScale" priority="1042">
      <colorScale>
        <cfvo type="min"/>
        <cfvo type="formula" val="1"/>
        <color theme="0"/>
        <color rgb="FF92D050"/>
      </colorScale>
    </cfRule>
  </conditionalFormatting>
  <conditionalFormatting sqref="AN47">
    <cfRule type="colorScale" priority="1043">
      <colorScale>
        <cfvo type="min"/>
        <cfvo type="formula" val="1"/>
        <color theme="0"/>
        <color rgb="FF92D050"/>
      </colorScale>
    </cfRule>
  </conditionalFormatting>
  <conditionalFormatting sqref="AN53">
    <cfRule type="colorScale" priority="1044">
      <colorScale>
        <cfvo type="min"/>
        <cfvo type="formula" val="1"/>
        <color theme="0"/>
        <color rgb="FF92D050"/>
      </colorScale>
    </cfRule>
  </conditionalFormatting>
  <conditionalFormatting sqref="AN59">
    <cfRule type="colorScale" priority="1045">
      <colorScale>
        <cfvo type="min"/>
        <cfvo type="formula" val="1"/>
        <color theme="0"/>
        <color rgb="FF92D050"/>
      </colorScale>
    </cfRule>
  </conditionalFormatting>
  <conditionalFormatting sqref="AN59">
    <cfRule type="colorScale" priority="1046">
      <colorScale>
        <cfvo type="formula" val="0"/>
        <cfvo type="formula" val="1"/>
        <cfvo type="formula" val="2"/>
        <color rgb="FFFFFFFF"/>
        <color rgb="FFFFFF00"/>
        <color rgb="FF00B050"/>
      </colorScale>
    </cfRule>
  </conditionalFormatting>
  <conditionalFormatting sqref="AN65">
    <cfRule type="colorScale" priority="1047">
      <colorScale>
        <cfvo type="formula" val="0"/>
        <cfvo type="formula" val="1"/>
        <cfvo type="formula" val="2"/>
        <color rgb="FFFFFFFF"/>
        <color rgb="FFFFFF00"/>
        <color rgb="FF00B050"/>
      </colorScale>
    </cfRule>
  </conditionalFormatting>
  <conditionalFormatting sqref="AN65">
    <cfRule type="colorScale" priority="1048">
      <colorScale>
        <cfvo type="min"/>
        <cfvo type="formula" val="1"/>
        <color theme="0"/>
        <color rgb="FF92D050"/>
      </colorScale>
    </cfRule>
  </conditionalFormatting>
  <conditionalFormatting sqref="AN71">
    <cfRule type="colorScale" priority="1049">
      <colorScale>
        <cfvo type="formula" val="0"/>
        <cfvo type="formula" val="1"/>
        <cfvo type="formula" val="2"/>
        <color rgb="FFFFFFFF"/>
        <color rgb="FFFFFF00"/>
        <color rgb="FF00B050"/>
      </colorScale>
    </cfRule>
  </conditionalFormatting>
  <conditionalFormatting sqref="AN71">
    <cfRule type="colorScale" priority="1050">
      <colorScale>
        <cfvo type="min"/>
        <cfvo type="formula" val="1"/>
        <color theme="0"/>
        <color rgb="FF92D050"/>
      </colorScale>
    </cfRule>
  </conditionalFormatting>
  <conditionalFormatting sqref="AN77">
    <cfRule type="colorScale" priority="1051">
      <colorScale>
        <cfvo type="formula" val="0"/>
        <cfvo type="formula" val="1"/>
        <cfvo type="formula" val="2"/>
        <color rgb="FFFFFFFF"/>
        <color rgb="FFFFFF00"/>
        <color rgb="FF00B050"/>
      </colorScale>
    </cfRule>
  </conditionalFormatting>
  <conditionalFormatting sqref="AN77">
    <cfRule type="colorScale" priority="1052">
      <colorScale>
        <cfvo type="min"/>
        <cfvo type="formula" val="1"/>
        <color theme="0"/>
        <color rgb="FF92D050"/>
      </colorScale>
    </cfRule>
  </conditionalFormatting>
  <conditionalFormatting sqref="AN83">
    <cfRule type="colorScale" priority="1053">
      <colorScale>
        <cfvo type="min"/>
        <cfvo type="formula" val="1"/>
        <color theme="0"/>
        <color rgb="FF92D050"/>
      </colorScale>
    </cfRule>
  </conditionalFormatting>
  <conditionalFormatting sqref="AN89">
    <cfRule type="colorScale" priority="1054">
      <colorScale>
        <cfvo type="min"/>
        <cfvo type="formula" val="1"/>
        <color theme="0"/>
        <color rgb="FF92D050"/>
      </colorScale>
    </cfRule>
  </conditionalFormatting>
  <conditionalFormatting sqref="AN95">
    <cfRule type="colorScale" priority="1055">
      <colorScale>
        <cfvo type="min"/>
        <cfvo type="formula" val="1"/>
        <color theme="0"/>
        <color rgb="FF92D050"/>
      </colorScale>
    </cfRule>
  </conditionalFormatting>
  <conditionalFormatting sqref="AN101">
    <cfRule type="colorScale" priority="1056">
      <colorScale>
        <cfvo type="min"/>
        <cfvo type="formula" val="1"/>
        <color theme="0"/>
        <color rgb="FF92D050"/>
      </colorScale>
    </cfRule>
  </conditionalFormatting>
  <conditionalFormatting sqref="AN107">
    <cfRule type="colorScale" priority="1057">
      <colorScale>
        <cfvo type="formula" val="0"/>
        <cfvo type="formula" val="1"/>
        <cfvo type="formula" val="2"/>
        <color rgb="FFFFFFFF"/>
        <color rgb="FFFFFF00"/>
        <color rgb="FF00B050"/>
      </colorScale>
    </cfRule>
  </conditionalFormatting>
  <conditionalFormatting sqref="AN107">
    <cfRule type="colorScale" priority="1058">
      <colorScale>
        <cfvo type="min"/>
        <cfvo type="formula" val="1"/>
        <color theme="0"/>
        <color rgb="FF92D050"/>
      </colorScale>
    </cfRule>
  </conditionalFormatting>
  <conditionalFormatting sqref="AN113">
    <cfRule type="colorScale" priority="1059">
      <colorScale>
        <cfvo type="min"/>
        <cfvo type="formula" val="1"/>
        <color theme="0"/>
        <color rgb="FF92D050"/>
      </colorScale>
    </cfRule>
  </conditionalFormatting>
  <conditionalFormatting sqref="AN113">
    <cfRule type="colorScale" priority="1060">
      <colorScale>
        <cfvo type="formula" val="0"/>
        <cfvo type="formula" val="1"/>
        <cfvo type="formula" val="2"/>
        <color rgb="FFFFFFFF"/>
        <color rgb="FFFFFF00"/>
        <color rgb="FF00B050"/>
      </colorScale>
    </cfRule>
  </conditionalFormatting>
  <conditionalFormatting sqref="AN119">
    <cfRule type="colorScale" priority="1061">
      <colorScale>
        <cfvo type="min"/>
        <cfvo type="formula" val="1"/>
        <color theme="0"/>
        <color rgb="FF92D050"/>
      </colorScale>
    </cfRule>
  </conditionalFormatting>
  <conditionalFormatting sqref="AN119">
    <cfRule type="colorScale" priority="1062">
      <colorScale>
        <cfvo type="formula" val="0"/>
        <cfvo type="formula" val="1"/>
        <cfvo type="formula" val="2"/>
        <color rgb="FFFFFFFF"/>
        <color rgb="FFFFFF00"/>
        <color rgb="FF00B050"/>
      </colorScale>
    </cfRule>
  </conditionalFormatting>
  <conditionalFormatting sqref="AR13">
    <cfRule type="colorScale" priority="1063">
      <colorScale>
        <cfvo type="min"/>
        <cfvo type="formula" val="1"/>
        <color theme="0"/>
        <color rgb="FF92D050"/>
      </colorScale>
    </cfRule>
  </conditionalFormatting>
  <conditionalFormatting sqref="AR13">
    <cfRule type="colorScale" priority="1064">
      <colorScale>
        <cfvo type="formula" val="0"/>
        <cfvo type="formula" val="1"/>
        <cfvo type="formula" val="2"/>
        <color rgb="FFFFFFFF"/>
        <color rgb="FFFFFF00"/>
        <color rgb="FF00B050"/>
      </colorScale>
    </cfRule>
  </conditionalFormatting>
  <conditionalFormatting sqref="AP19">
    <cfRule type="colorScale" priority="1065">
      <colorScale>
        <cfvo type="min"/>
        <cfvo type="formula" val="1"/>
        <color theme="0"/>
        <color rgb="FF92D050"/>
      </colorScale>
    </cfRule>
  </conditionalFormatting>
  <conditionalFormatting sqref="AP19">
    <cfRule type="colorScale" priority="1066">
      <colorScale>
        <cfvo type="formula" val="0"/>
        <cfvo type="formula" val="1"/>
        <cfvo type="formula" val="2"/>
        <color rgb="FFFFFFFF"/>
        <color rgb="FFFFFF00"/>
        <color rgb="FF00B050"/>
      </colorScale>
    </cfRule>
  </conditionalFormatting>
  <conditionalFormatting sqref="AR19">
    <cfRule type="colorScale" priority="1067">
      <colorScale>
        <cfvo type="min"/>
        <cfvo type="formula" val="1"/>
        <color theme="0"/>
        <color rgb="FF92D050"/>
      </colorScale>
    </cfRule>
  </conditionalFormatting>
  <conditionalFormatting sqref="AR19">
    <cfRule type="colorScale" priority="1068">
      <colorScale>
        <cfvo type="formula" val="0"/>
        <cfvo type="formula" val="1"/>
        <cfvo type="formula" val="2"/>
        <color rgb="FFFFFFFF"/>
        <color rgb="FFFFFF00"/>
        <color rgb="FF00B050"/>
      </colorScale>
    </cfRule>
  </conditionalFormatting>
  <conditionalFormatting sqref="AP25">
    <cfRule type="colorScale" priority="1069">
      <colorScale>
        <cfvo type="min"/>
        <cfvo type="formula" val="1"/>
        <color theme="0"/>
        <color rgb="FF92D050"/>
      </colorScale>
    </cfRule>
  </conditionalFormatting>
  <conditionalFormatting sqref="AP25">
    <cfRule type="colorScale" priority="1070">
      <colorScale>
        <cfvo type="formula" val="0"/>
        <cfvo type="formula" val="1"/>
        <cfvo type="formula" val="2"/>
        <color rgb="FFFFFFFF"/>
        <color rgb="FFFFFF00"/>
        <color rgb="FF00B050"/>
      </colorScale>
    </cfRule>
  </conditionalFormatting>
  <conditionalFormatting sqref="AR25">
    <cfRule type="colorScale" priority="1071">
      <colorScale>
        <cfvo type="min"/>
        <cfvo type="formula" val="1"/>
        <color theme="0"/>
        <color rgb="FF92D050"/>
      </colorScale>
    </cfRule>
  </conditionalFormatting>
  <conditionalFormatting sqref="AR25">
    <cfRule type="colorScale" priority="1072">
      <colorScale>
        <cfvo type="formula" val="0"/>
        <cfvo type="formula" val="1"/>
        <cfvo type="formula" val="2"/>
        <color rgb="FFFFFFFF"/>
        <color rgb="FFFFFF00"/>
        <color rgb="FF00B050"/>
      </colorScale>
    </cfRule>
  </conditionalFormatting>
  <conditionalFormatting sqref="AP31">
    <cfRule type="colorScale" priority="1073">
      <colorScale>
        <cfvo type="min"/>
        <cfvo type="formula" val="1"/>
        <color theme="0"/>
        <color rgb="FF92D050"/>
      </colorScale>
    </cfRule>
  </conditionalFormatting>
  <conditionalFormatting sqref="AP31">
    <cfRule type="colorScale" priority="1074">
      <colorScale>
        <cfvo type="formula" val="0"/>
        <cfvo type="formula" val="1"/>
        <cfvo type="formula" val="2"/>
        <color rgb="FFFFFFFF"/>
        <color rgb="FFFFFF00"/>
        <color rgb="FF00B050"/>
      </colorScale>
    </cfRule>
  </conditionalFormatting>
  <conditionalFormatting sqref="AR31">
    <cfRule type="colorScale" priority="1075">
      <colorScale>
        <cfvo type="min"/>
        <cfvo type="formula" val="1"/>
        <color theme="0"/>
        <color rgb="FF92D050"/>
      </colorScale>
    </cfRule>
  </conditionalFormatting>
  <conditionalFormatting sqref="AR31">
    <cfRule type="colorScale" priority="1076">
      <colorScale>
        <cfvo type="formula" val="0"/>
        <cfvo type="formula" val="1"/>
        <cfvo type="formula" val="2"/>
        <color rgb="FFFFFFFF"/>
        <color rgb="FFFFFF00"/>
        <color rgb="FF00B050"/>
      </colorScale>
    </cfRule>
  </conditionalFormatting>
  <conditionalFormatting sqref="AP38">
    <cfRule type="colorScale" priority="1077">
      <colorScale>
        <cfvo type="formula" val="0"/>
        <cfvo type="formula" val="1"/>
        <cfvo type="formula" val="2"/>
        <color rgb="FFFFFFFF"/>
        <color rgb="FFFFFF00"/>
        <color rgb="FF00B050"/>
      </colorScale>
    </cfRule>
  </conditionalFormatting>
  <conditionalFormatting sqref="AR38">
    <cfRule type="colorScale" priority="1078">
      <colorScale>
        <cfvo type="formula" val="0"/>
        <cfvo type="formula" val="1"/>
        <cfvo type="formula" val="2"/>
        <color rgb="FFFFFFFF"/>
        <color rgb="FFFFFF00"/>
        <color rgb="FF00B050"/>
      </colorScale>
    </cfRule>
  </conditionalFormatting>
  <conditionalFormatting sqref="AP44">
    <cfRule type="colorScale" priority="1079">
      <colorScale>
        <cfvo type="formula" val="0"/>
        <cfvo type="formula" val="1"/>
        <cfvo type="formula" val="2"/>
        <color rgb="FFFFFFFF"/>
        <color rgb="FFFFFF00"/>
        <color rgb="FF00B050"/>
      </colorScale>
    </cfRule>
  </conditionalFormatting>
  <conditionalFormatting sqref="AP44">
    <cfRule type="colorScale" priority="1080">
      <colorScale>
        <cfvo type="min"/>
        <cfvo type="formula" val="1"/>
        <color theme="0"/>
        <color rgb="FF92D050"/>
      </colorScale>
    </cfRule>
  </conditionalFormatting>
  <conditionalFormatting sqref="AR44">
    <cfRule type="colorScale" priority="1081">
      <colorScale>
        <cfvo type="formula" val="0"/>
        <cfvo type="formula" val="1"/>
        <cfvo type="formula" val="2"/>
        <color rgb="FFFFFFFF"/>
        <color rgb="FFFFFF00"/>
        <color rgb="FF00B050"/>
      </colorScale>
    </cfRule>
  </conditionalFormatting>
  <conditionalFormatting sqref="AR44">
    <cfRule type="colorScale" priority="1082">
      <colorScale>
        <cfvo type="min"/>
        <cfvo type="formula" val="1"/>
        <color theme="0"/>
        <color rgb="FF92D050"/>
      </colorScale>
    </cfRule>
  </conditionalFormatting>
  <conditionalFormatting sqref="AP50">
    <cfRule type="colorScale" priority="1083">
      <colorScale>
        <cfvo type="formula" val="0"/>
        <cfvo type="formula" val="1"/>
        <cfvo type="formula" val="2"/>
        <color rgb="FFFFFFFF"/>
        <color rgb="FFFFFF00"/>
        <color rgb="FF00B050"/>
      </colorScale>
    </cfRule>
  </conditionalFormatting>
  <conditionalFormatting sqref="AP50">
    <cfRule type="colorScale" priority="1084">
      <colorScale>
        <cfvo type="min"/>
        <cfvo type="formula" val="1"/>
        <color theme="0"/>
        <color rgb="FF92D050"/>
      </colorScale>
    </cfRule>
  </conditionalFormatting>
  <conditionalFormatting sqref="AR50">
    <cfRule type="colorScale" priority="1085">
      <colorScale>
        <cfvo type="formula" val="0"/>
        <cfvo type="formula" val="1"/>
        <cfvo type="formula" val="2"/>
        <color rgb="FFFFFFFF"/>
        <color rgb="FFFFFF00"/>
        <color rgb="FF00B050"/>
      </colorScale>
    </cfRule>
  </conditionalFormatting>
  <conditionalFormatting sqref="AR50">
    <cfRule type="colorScale" priority="1086">
      <colorScale>
        <cfvo type="min"/>
        <cfvo type="formula" val="1"/>
        <color theme="0"/>
        <color rgb="FF92D050"/>
      </colorScale>
    </cfRule>
  </conditionalFormatting>
  <conditionalFormatting sqref="AP56">
    <cfRule type="colorScale" priority="1087">
      <colorScale>
        <cfvo type="min"/>
        <cfvo type="formula" val="1"/>
        <color theme="0"/>
        <color rgb="FF92D050"/>
      </colorScale>
    </cfRule>
  </conditionalFormatting>
  <conditionalFormatting sqref="AP56">
    <cfRule type="colorScale" priority="1088">
      <colorScale>
        <cfvo type="formula" val="0"/>
        <cfvo type="formula" val="1"/>
        <cfvo type="formula" val="2"/>
        <color rgb="FFFFFFFF"/>
        <color rgb="FFFFFF00"/>
        <color rgb="FF00B050"/>
      </colorScale>
    </cfRule>
  </conditionalFormatting>
  <conditionalFormatting sqref="AR56">
    <cfRule type="colorScale" priority="1089">
      <colorScale>
        <cfvo type="min"/>
        <cfvo type="formula" val="1"/>
        <color theme="0"/>
        <color rgb="FF92D050"/>
      </colorScale>
    </cfRule>
  </conditionalFormatting>
  <conditionalFormatting sqref="AR56">
    <cfRule type="colorScale" priority="1090">
      <colorScale>
        <cfvo type="formula" val="0"/>
        <cfvo type="formula" val="1"/>
        <cfvo type="formula" val="2"/>
        <color rgb="FFFFFFFF"/>
        <color rgb="FFFFFF00"/>
        <color rgb="FF00B050"/>
      </colorScale>
    </cfRule>
  </conditionalFormatting>
  <conditionalFormatting sqref="AP62">
    <cfRule type="colorScale" priority="1091">
      <colorScale>
        <cfvo type="formula" val="0"/>
        <cfvo type="formula" val="1"/>
        <cfvo type="formula" val="2"/>
        <color rgb="FFFFFFFF"/>
        <color rgb="FFFFFF00"/>
        <color rgb="FF00B050"/>
      </colorScale>
    </cfRule>
  </conditionalFormatting>
  <conditionalFormatting sqref="AP62">
    <cfRule type="colorScale" priority="1092">
      <colorScale>
        <cfvo type="min"/>
        <cfvo type="formula" val="1"/>
        <color theme="0"/>
        <color rgb="FF92D050"/>
      </colorScale>
    </cfRule>
  </conditionalFormatting>
  <conditionalFormatting sqref="AR62">
    <cfRule type="colorScale" priority="1093">
      <colorScale>
        <cfvo type="formula" val="0"/>
        <cfvo type="formula" val="1"/>
        <cfvo type="formula" val="2"/>
        <color rgb="FFFFFFFF"/>
        <color rgb="FFFFFF00"/>
        <color rgb="FF00B050"/>
      </colorScale>
    </cfRule>
  </conditionalFormatting>
  <conditionalFormatting sqref="AR62">
    <cfRule type="colorScale" priority="1094">
      <colorScale>
        <cfvo type="min"/>
        <cfvo type="formula" val="1"/>
        <color theme="0"/>
        <color rgb="FF92D050"/>
      </colorScale>
    </cfRule>
  </conditionalFormatting>
  <conditionalFormatting sqref="AP68">
    <cfRule type="colorScale" priority="1095">
      <colorScale>
        <cfvo type="formula" val="0"/>
        <cfvo type="formula" val="1"/>
        <cfvo type="formula" val="2"/>
        <color rgb="FFFFFFFF"/>
        <color rgb="FFFFFF00"/>
        <color rgb="FF00B050"/>
      </colorScale>
    </cfRule>
  </conditionalFormatting>
  <conditionalFormatting sqref="AP68">
    <cfRule type="colorScale" priority="1096">
      <colorScale>
        <cfvo type="min"/>
        <cfvo type="formula" val="1"/>
        <color theme="0"/>
        <color rgb="FF92D050"/>
      </colorScale>
    </cfRule>
  </conditionalFormatting>
  <conditionalFormatting sqref="AR68">
    <cfRule type="colorScale" priority="1097">
      <colorScale>
        <cfvo type="formula" val="0"/>
        <cfvo type="formula" val="1"/>
        <cfvo type="formula" val="2"/>
        <color rgb="FFFFFFFF"/>
        <color rgb="FFFFFF00"/>
        <color rgb="FF00B050"/>
      </colorScale>
    </cfRule>
  </conditionalFormatting>
  <conditionalFormatting sqref="AP74">
    <cfRule type="colorScale" priority="1098">
      <colorScale>
        <cfvo type="formula" val="0"/>
        <cfvo type="formula" val="1"/>
        <cfvo type="formula" val="2"/>
        <color rgb="FFFFFFFF"/>
        <color rgb="FFFFFF00"/>
        <color rgb="FF00B050"/>
      </colorScale>
    </cfRule>
  </conditionalFormatting>
  <conditionalFormatting sqref="AP74">
    <cfRule type="colorScale" priority="1099">
      <colorScale>
        <cfvo type="min"/>
        <cfvo type="formula" val="1"/>
        <color theme="0"/>
        <color rgb="FF92D050"/>
      </colorScale>
    </cfRule>
  </conditionalFormatting>
  <conditionalFormatting sqref="AR74">
    <cfRule type="colorScale" priority="1100">
      <colorScale>
        <cfvo type="formula" val="0"/>
        <cfvo type="formula" val="1"/>
        <cfvo type="formula" val="2"/>
        <color rgb="FFFFFFFF"/>
        <color rgb="FFFFFF00"/>
        <color rgb="FF00B050"/>
      </colorScale>
    </cfRule>
  </conditionalFormatting>
  <conditionalFormatting sqref="AP80">
    <cfRule type="colorScale" priority="1101">
      <colorScale>
        <cfvo type="formula" val="0"/>
        <cfvo type="formula" val="1"/>
        <cfvo type="formula" val="2"/>
        <color rgb="FFFFFFFF"/>
        <color rgb="FFFFFF00"/>
        <color rgb="FF00B050"/>
      </colorScale>
    </cfRule>
  </conditionalFormatting>
  <conditionalFormatting sqref="AP80">
    <cfRule type="colorScale" priority="1102">
      <colorScale>
        <cfvo type="min"/>
        <cfvo type="formula" val="1"/>
        <color theme="0"/>
        <color rgb="FF92D050"/>
      </colorScale>
    </cfRule>
  </conditionalFormatting>
  <conditionalFormatting sqref="AR80">
    <cfRule type="colorScale" priority="1103">
      <colorScale>
        <cfvo type="formula" val="0"/>
        <cfvo type="formula" val="1"/>
        <cfvo type="formula" val="2"/>
        <color rgb="FFFFFFFF"/>
        <color rgb="FFFFFF00"/>
        <color rgb="FF00B050"/>
      </colorScale>
    </cfRule>
  </conditionalFormatting>
  <conditionalFormatting sqref="AR80">
    <cfRule type="colorScale" priority="1104">
      <colorScale>
        <cfvo type="min"/>
        <cfvo type="formula" val="1"/>
        <color theme="0"/>
        <color rgb="FF92D050"/>
      </colorScale>
    </cfRule>
  </conditionalFormatting>
  <conditionalFormatting sqref="AP86">
    <cfRule type="colorScale" priority="1105">
      <colorScale>
        <cfvo type="formula" val="0"/>
        <cfvo type="formula" val="1"/>
        <cfvo type="formula" val="2"/>
        <color rgb="FFFFFFFF"/>
        <color rgb="FFFFFF00"/>
        <color rgb="FF00B050"/>
      </colorScale>
    </cfRule>
  </conditionalFormatting>
  <conditionalFormatting sqref="AP86">
    <cfRule type="colorScale" priority="1106">
      <colorScale>
        <cfvo type="min"/>
        <cfvo type="formula" val="1"/>
        <color theme="0"/>
        <color rgb="FF92D050"/>
      </colorScale>
    </cfRule>
  </conditionalFormatting>
  <conditionalFormatting sqref="AR86">
    <cfRule type="colorScale" priority="1107">
      <colorScale>
        <cfvo type="formula" val="0"/>
        <cfvo type="formula" val="1"/>
        <cfvo type="formula" val="2"/>
        <color rgb="FFFFFFFF"/>
        <color rgb="FFFFFF00"/>
        <color rgb="FF00B050"/>
      </colorScale>
    </cfRule>
  </conditionalFormatting>
  <conditionalFormatting sqref="AR86">
    <cfRule type="colorScale" priority="1108">
      <colorScale>
        <cfvo type="min"/>
        <cfvo type="formula" val="1"/>
        <color theme="0"/>
        <color rgb="FF92D050"/>
      </colorScale>
    </cfRule>
  </conditionalFormatting>
  <conditionalFormatting sqref="AP92">
    <cfRule type="colorScale" priority="1109">
      <colorScale>
        <cfvo type="formula" val="0"/>
        <cfvo type="formula" val="1"/>
        <cfvo type="formula" val="2"/>
        <color rgb="FFFFFFFF"/>
        <color rgb="FFFFFF00"/>
        <color rgb="FF00B050"/>
      </colorScale>
    </cfRule>
  </conditionalFormatting>
  <conditionalFormatting sqref="AP92">
    <cfRule type="colorScale" priority="1110">
      <colorScale>
        <cfvo type="min"/>
        <cfvo type="formula" val="1"/>
        <color theme="0"/>
        <color rgb="FF92D050"/>
      </colorScale>
    </cfRule>
  </conditionalFormatting>
  <conditionalFormatting sqref="AR92">
    <cfRule type="colorScale" priority="1111">
      <colorScale>
        <cfvo type="formula" val="0"/>
        <cfvo type="formula" val="1"/>
        <cfvo type="formula" val="2"/>
        <color rgb="FFFFFFFF"/>
        <color rgb="FFFFFF00"/>
        <color rgb="FF00B050"/>
      </colorScale>
    </cfRule>
  </conditionalFormatting>
  <conditionalFormatting sqref="AR92">
    <cfRule type="colorScale" priority="1112">
      <colorScale>
        <cfvo type="min"/>
        <cfvo type="formula" val="1"/>
        <color theme="0"/>
        <color rgb="FF92D050"/>
      </colorScale>
    </cfRule>
  </conditionalFormatting>
  <conditionalFormatting sqref="AP98">
    <cfRule type="colorScale" priority="1113">
      <colorScale>
        <cfvo type="formula" val="0"/>
        <cfvo type="formula" val="1"/>
        <cfvo type="formula" val="2"/>
        <color rgb="FFFFFFFF"/>
        <color rgb="FFFFFF00"/>
        <color rgb="FF00B050"/>
      </colorScale>
    </cfRule>
  </conditionalFormatting>
  <conditionalFormatting sqref="AP98">
    <cfRule type="colorScale" priority="1114">
      <colorScale>
        <cfvo type="min"/>
        <cfvo type="formula" val="1"/>
        <color theme="0"/>
        <color rgb="FF92D050"/>
      </colorScale>
    </cfRule>
  </conditionalFormatting>
  <conditionalFormatting sqref="AR98">
    <cfRule type="colorScale" priority="1115">
      <colorScale>
        <cfvo type="formula" val="0"/>
        <cfvo type="formula" val="1"/>
        <cfvo type="formula" val="2"/>
        <color rgb="FFFFFFFF"/>
        <color rgb="FFFFFF00"/>
        <color rgb="FF00B050"/>
      </colorScale>
    </cfRule>
  </conditionalFormatting>
  <conditionalFormatting sqref="AR98">
    <cfRule type="colorScale" priority="1116">
      <colorScale>
        <cfvo type="min"/>
        <cfvo type="formula" val="1"/>
        <color theme="0"/>
        <color rgb="FF92D050"/>
      </colorScale>
    </cfRule>
  </conditionalFormatting>
  <conditionalFormatting sqref="AP104">
    <cfRule type="colorScale" priority="1117">
      <colorScale>
        <cfvo type="formula" val="0"/>
        <cfvo type="formula" val="1"/>
        <cfvo type="formula" val="2"/>
        <color rgb="FFFFFFFF"/>
        <color rgb="FFFFFF00"/>
        <color rgb="FF00B050"/>
      </colorScale>
    </cfRule>
  </conditionalFormatting>
  <conditionalFormatting sqref="AP104">
    <cfRule type="colorScale" priority="1118">
      <colorScale>
        <cfvo type="min"/>
        <cfvo type="formula" val="1"/>
        <color theme="0"/>
        <color rgb="FF92D050"/>
      </colorScale>
    </cfRule>
  </conditionalFormatting>
  <conditionalFormatting sqref="AR104">
    <cfRule type="colorScale" priority="1119">
      <colorScale>
        <cfvo type="formula" val="0"/>
        <cfvo type="formula" val="1"/>
        <cfvo type="formula" val="2"/>
        <color rgb="FFFFFFFF"/>
        <color rgb="FFFFFF00"/>
        <color rgb="FF00B050"/>
      </colorScale>
    </cfRule>
  </conditionalFormatting>
  <conditionalFormatting sqref="AR104">
    <cfRule type="colorScale" priority="1120">
      <colorScale>
        <cfvo type="min"/>
        <cfvo type="formula" val="1"/>
        <color theme="0"/>
        <color rgb="FF92D050"/>
      </colorScale>
    </cfRule>
  </conditionalFormatting>
  <conditionalFormatting sqref="AP110">
    <cfRule type="colorScale" priority="1121">
      <colorScale>
        <cfvo type="min"/>
        <cfvo type="formula" val="1"/>
        <color theme="0"/>
        <color rgb="FF92D050"/>
      </colorScale>
    </cfRule>
  </conditionalFormatting>
  <conditionalFormatting sqref="AP110">
    <cfRule type="colorScale" priority="1122">
      <colorScale>
        <cfvo type="formula" val="0"/>
        <cfvo type="formula" val="1"/>
        <cfvo type="formula" val="2"/>
        <color rgb="FFFFFFFF"/>
        <color rgb="FFFFFF00"/>
        <color rgb="FF00B050"/>
      </colorScale>
    </cfRule>
  </conditionalFormatting>
  <conditionalFormatting sqref="AR110">
    <cfRule type="colorScale" priority="1123">
      <colorScale>
        <cfvo type="min"/>
        <cfvo type="formula" val="1"/>
        <color theme="0"/>
        <color rgb="FF92D050"/>
      </colorScale>
    </cfRule>
  </conditionalFormatting>
  <conditionalFormatting sqref="AR110">
    <cfRule type="colorScale" priority="1124">
      <colorScale>
        <cfvo type="formula" val="0"/>
        <cfvo type="formula" val="1"/>
        <cfvo type="formula" val="2"/>
        <color rgb="FFFFFFFF"/>
        <color rgb="FFFFFF00"/>
        <color rgb="FF00B050"/>
      </colorScale>
    </cfRule>
  </conditionalFormatting>
  <conditionalFormatting sqref="AP116">
    <cfRule type="colorScale" priority="1125">
      <colorScale>
        <cfvo type="min"/>
        <cfvo type="formula" val="1"/>
        <color theme="0"/>
        <color rgb="FF92D050"/>
      </colorScale>
    </cfRule>
  </conditionalFormatting>
  <conditionalFormatting sqref="AP116">
    <cfRule type="colorScale" priority="1126">
      <colorScale>
        <cfvo type="formula" val="0"/>
        <cfvo type="formula" val="1"/>
        <cfvo type="formula" val="2"/>
        <color rgb="FFFFFFFF"/>
        <color rgb="FFFFFF00"/>
        <color rgb="FF00B050"/>
      </colorScale>
    </cfRule>
  </conditionalFormatting>
  <conditionalFormatting sqref="AR116">
    <cfRule type="colorScale" priority="1127">
      <colorScale>
        <cfvo type="min"/>
        <cfvo type="formula" val="1"/>
        <color theme="0"/>
        <color rgb="FF92D050"/>
      </colorScale>
    </cfRule>
  </conditionalFormatting>
  <conditionalFormatting sqref="AR116">
    <cfRule type="colorScale" priority="1128">
      <colorScale>
        <cfvo type="formula" val="0"/>
        <cfvo type="formula" val="1"/>
        <cfvo type="formula" val="2"/>
        <color rgb="FFFFFFFF"/>
        <color rgb="FFFFFF00"/>
        <color rgb="FF00B050"/>
      </colorScale>
    </cfRule>
  </conditionalFormatting>
  <conditionalFormatting sqref="AP22">
    <cfRule type="colorScale" priority="1129">
      <colorScale>
        <cfvo type="min"/>
        <cfvo type="formula" val="1"/>
        <color theme="0"/>
        <color rgb="FF92D050"/>
      </colorScale>
    </cfRule>
  </conditionalFormatting>
  <conditionalFormatting sqref="AP22">
    <cfRule type="colorScale" priority="1130">
      <colorScale>
        <cfvo type="formula" val="0"/>
        <cfvo type="formula" val="1"/>
        <cfvo type="formula" val="2"/>
        <color rgb="FFFFFFFF"/>
        <color rgb="FFFFFF00"/>
        <color rgb="FF00B050"/>
      </colorScale>
    </cfRule>
  </conditionalFormatting>
  <conditionalFormatting sqref="AR22">
    <cfRule type="colorScale" priority="1131">
      <colorScale>
        <cfvo type="min"/>
        <cfvo type="formula" val="1"/>
        <color theme="0"/>
        <color rgb="FF92D050"/>
      </colorScale>
    </cfRule>
  </conditionalFormatting>
  <conditionalFormatting sqref="AR22">
    <cfRule type="colorScale" priority="1132">
      <colorScale>
        <cfvo type="formula" val="0"/>
        <cfvo type="formula" val="1"/>
        <cfvo type="formula" val="2"/>
        <color rgb="FFFFFFFF"/>
        <color rgb="FFFFFF00"/>
        <color rgb="FF00B050"/>
      </colorScale>
    </cfRule>
  </conditionalFormatting>
  <conditionalFormatting sqref="AP28">
    <cfRule type="colorScale" priority="1133">
      <colorScale>
        <cfvo type="min"/>
        <cfvo type="formula" val="1"/>
        <color theme="0"/>
        <color rgb="FF92D050"/>
      </colorScale>
    </cfRule>
  </conditionalFormatting>
  <conditionalFormatting sqref="AP28">
    <cfRule type="colorScale" priority="1134">
      <colorScale>
        <cfvo type="formula" val="0"/>
        <cfvo type="formula" val="1"/>
        <cfvo type="formula" val="2"/>
        <color rgb="FFFFFFFF"/>
        <color rgb="FFFFFF00"/>
        <color rgb="FF00B050"/>
      </colorScale>
    </cfRule>
  </conditionalFormatting>
  <conditionalFormatting sqref="AR28">
    <cfRule type="colorScale" priority="1135">
      <colorScale>
        <cfvo type="min"/>
        <cfvo type="formula" val="1"/>
        <color theme="0"/>
        <color rgb="FF92D050"/>
      </colorScale>
    </cfRule>
  </conditionalFormatting>
  <conditionalFormatting sqref="AR28">
    <cfRule type="colorScale" priority="1136">
      <colorScale>
        <cfvo type="formula" val="0"/>
        <cfvo type="formula" val="1"/>
        <cfvo type="formula" val="2"/>
        <color rgb="FFFFFFFF"/>
        <color rgb="FFFFFF00"/>
        <color rgb="FF00B050"/>
      </colorScale>
    </cfRule>
  </conditionalFormatting>
  <conditionalFormatting sqref="AP34">
    <cfRule type="colorScale" priority="1137">
      <colorScale>
        <cfvo type="min"/>
        <cfvo type="formula" val="1"/>
        <color theme="0"/>
        <color rgb="FF92D050"/>
      </colorScale>
    </cfRule>
  </conditionalFormatting>
  <conditionalFormatting sqref="AP34">
    <cfRule type="colorScale" priority="1138">
      <colorScale>
        <cfvo type="formula" val="0"/>
        <cfvo type="formula" val="1"/>
        <cfvo type="formula" val="2"/>
        <color rgb="FFFFFFFF"/>
        <color rgb="FFFFFF00"/>
        <color rgb="FF00B050"/>
      </colorScale>
    </cfRule>
  </conditionalFormatting>
  <conditionalFormatting sqref="AR34">
    <cfRule type="colorScale" priority="1139">
      <colorScale>
        <cfvo type="min"/>
        <cfvo type="formula" val="1"/>
        <color theme="0"/>
        <color rgb="FF92D050"/>
      </colorScale>
    </cfRule>
  </conditionalFormatting>
  <conditionalFormatting sqref="AR34">
    <cfRule type="colorScale" priority="1140">
      <colorScale>
        <cfvo type="formula" val="0"/>
        <cfvo type="formula" val="1"/>
        <cfvo type="formula" val="2"/>
        <color rgb="FFFFFFFF"/>
        <color rgb="FFFFFF00"/>
        <color rgb="FF00B050"/>
      </colorScale>
    </cfRule>
  </conditionalFormatting>
  <conditionalFormatting sqref="AP41">
    <cfRule type="colorScale" priority="1141">
      <colorScale>
        <cfvo type="formula" val="0"/>
        <cfvo type="formula" val="1"/>
        <cfvo type="formula" val="2"/>
        <color rgb="FFFFFFFF"/>
        <color rgb="FFFFFF00"/>
        <color rgb="FF00B050"/>
      </colorScale>
    </cfRule>
  </conditionalFormatting>
  <conditionalFormatting sqref="AR41">
    <cfRule type="colorScale" priority="1142">
      <colorScale>
        <cfvo type="formula" val="0"/>
        <cfvo type="formula" val="1"/>
        <cfvo type="formula" val="2"/>
        <color rgb="FFFFFFFF"/>
        <color rgb="FFFFFF00"/>
        <color rgb="FF00B050"/>
      </colorScale>
    </cfRule>
  </conditionalFormatting>
  <conditionalFormatting sqref="AP47">
    <cfRule type="colorScale" priority="1143">
      <colorScale>
        <cfvo type="min"/>
        <cfvo type="formula" val="1"/>
        <color theme="0"/>
        <color rgb="FF92D050"/>
      </colorScale>
    </cfRule>
  </conditionalFormatting>
  <conditionalFormatting sqref="AP47">
    <cfRule type="colorScale" priority="1144">
      <colorScale>
        <cfvo type="formula" val="0"/>
        <cfvo type="formula" val="1"/>
        <cfvo type="formula" val="2"/>
        <color rgb="FFFFFFFF"/>
        <color rgb="FFFFFF00"/>
        <color rgb="FF00B050"/>
      </colorScale>
    </cfRule>
  </conditionalFormatting>
  <conditionalFormatting sqref="AR47">
    <cfRule type="colorScale" priority="1145">
      <colorScale>
        <cfvo type="min"/>
        <cfvo type="formula" val="1"/>
        <color theme="0"/>
        <color rgb="FF92D050"/>
      </colorScale>
    </cfRule>
  </conditionalFormatting>
  <conditionalFormatting sqref="AR47">
    <cfRule type="colorScale" priority="1146">
      <colorScale>
        <cfvo type="formula" val="0"/>
        <cfvo type="formula" val="1"/>
        <cfvo type="formula" val="2"/>
        <color rgb="FFFFFFFF"/>
        <color rgb="FFFFFF00"/>
        <color rgb="FF00B050"/>
      </colorScale>
    </cfRule>
  </conditionalFormatting>
  <conditionalFormatting sqref="AP53">
    <cfRule type="colorScale" priority="1147">
      <colorScale>
        <cfvo type="min"/>
        <cfvo type="formula" val="1"/>
        <color theme="0"/>
        <color rgb="FF92D050"/>
      </colorScale>
    </cfRule>
  </conditionalFormatting>
  <conditionalFormatting sqref="AP53">
    <cfRule type="colorScale" priority="1148">
      <colorScale>
        <cfvo type="formula" val="0"/>
        <cfvo type="formula" val="1"/>
        <cfvo type="formula" val="2"/>
        <color rgb="FFFFFFFF"/>
        <color rgb="FFFFFF00"/>
        <color rgb="FF00B050"/>
      </colorScale>
    </cfRule>
  </conditionalFormatting>
  <conditionalFormatting sqref="AR53">
    <cfRule type="colorScale" priority="1149">
      <colorScale>
        <cfvo type="min"/>
        <cfvo type="formula" val="1"/>
        <color theme="0"/>
        <color rgb="FF92D050"/>
      </colorScale>
    </cfRule>
  </conditionalFormatting>
  <conditionalFormatting sqref="AR53">
    <cfRule type="colorScale" priority="1150">
      <colorScale>
        <cfvo type="formula" val="0"/>
        <cfvo type="formula" val="1"/>
        <cfvo type="formula" val="2"/>
        <color rgb="FFFFFFFF"/>
        <color rgb="FFFFFF00"/>
        <color rgb="FF00B050"/>
      </colorScale>
    </cfRule>
  </conditionalFormatting>
  <conditionalFormatting sqref="AP59">
    <cfRule type="colorScale" priority="1151">
      <colorScale>
        <cfvo type="min"/>
        <cfvo type="formula" val="1"/>
        <color theme="0"/>
        <color rgb="FF92D050"/>
      </colorScale>
    </cfRule>
  </conditionalFormatting>
  <conditionalFormatting sqref="AP59">
    <cfRule type="colorScale" priority="1152">
      <colorScale>
        <cfvo type="formula" val="0"/>
        <cfvo type="formula" val="1"/>
        <cfvo type="formula" val="2"/>
        <color rgb="FFFFFFFF"/>
        <color rgb="FFFFFF00"/>
        <color rgb="FF00B050"/>
      </colorScale>
    </cfRule>
  </conditionalFormatting>
  <conditionalFormatting sqref="AR59">
    <cfRule type="colorScale" priority="1153">
      <colorScale>
        <cfvo type="min"/>
        <cfvo type="formula" val="1"/>
        <color theme="0"/>
        <color rgb="FF92D050"/>
      </colorScale>
    </cfRule>
  </conditionalFormatting>
  <conditionalFormatting sqref="AR59">
    <cfRule type="colorScale" priority="1154">
      <colorScale>
        <cfvo type="formula" val="0"/>
        <cfvo type="formula" val="1"/>
        <cfvo type="formula" val="2"/>
        <color rgb="FFFFFFFF"/>
        <color rgb="FFFFFF00"/>
        <color rgb="FF00B050"/>
      </colorScale>
    </cfRule>
  </conditionalFormatting>
  <conditionalFormatting sqref="AP65">
    <cfRule type="colorScale" priority="1155">
      <colorScale>
        <cfvo type="min"/>
        <cfvo type="formula" val="1"/>
        <color theme="0"/>
        <color rgb="FF92D050"/>
      </colorScale>
    </cfRule>
  </conditionalFormatting>
  <conditionalFormatting sqref="AR65">
    <cfRule type="colorScale" priority="1156">
      <colorScale>
        <cfvo type="min"/>
        <cfvo type="formula" val="1"/>
        <color theme="0"/>
        <color rgb="FF92D050"/>
      </colorScale>
    </cfRule>
  </conditionalFormatting>
  <conditionalFormatting sqref="AR65">
    <cfRule type="colorScale" priority="1157">
      <colorScale>
        <cfvo type="formula" val="0"/>
        <cfvo type="formula" val="1"/>
        <cfvo type="formula" val="2"/>
        <color rgb="FFFFFFFF"/>
        <color rgb="FFFFFF00"/>
        <color rgb="FF00B050"/>
      </colorScale>
    </cfRule>
  </conditionalFormatting>
  <conditionalFormatting sqref="AP71">
    <cfRule type="colorScale" priority="1158">
      <colorScale>
        <cfvo type="min"/>
        <cfvo type="formula" val="1"/>
        <color theme="0"/>
        <color rgb="FF92D050"/>
      </colorScale>
    </cfRule>
  </conditionalFormatting>
  <conditionalFormatting sqref="AR71">
    <cfRule type="colorScale" priority="1159">
      <colorScale>
        <cfvo type="min"/>
        <cfvo type="formula" val="1"/>
        <color theme="0"/>
        <color rgb="FF92D050"/>
      </colorScale>
    </cfRule>
  </conditionalFormatting>
  <conditionalFormatting sqref="AR71">
    <cfRule type="colorScale" priority="1160">
      <colorScale>
        <cfvo type="formula" val="0"/>
        <cfvo type="formula" val="1"/>
        <cfvo type="formula" val="2"/>
        <color rgb="FFFFFFFF"/>
        <color rgb="FFFFFF00"/>
        <color rgb="FF00B050"/>
      </colorScale>
    </cfRule>
  </conditionalFormatting>
  <conditionalFormatting sqref="AP77">
    <cfRule type="colorScale" priority="1161">
      <colorScale>
        <cfvo type="formula" val="0"/>
        <cfvo type="formula" val="1"/>
        <cfvo type="formula" val="2"/>
        <color rgb="FFFFFFFF"/>
        <color rgb="FFFFFF00"/>
        <color rgb="FF00B050"/>
      </colorScale>
    </cfRule>
  </conditionalFormatting>
  <conditionalFormatting sqref="AP77">
    <cfRule type="colorScale" priority="1162">
      <colorScale>
        <cfvo type="min"/>
        <cfvo type="formula" val="1"/>
        <color theme="0"/>
        <color rgb="FF92D050"/>
      </colorScale>
    </cfRule>
  </conditionalFormatting>
  <conditionalFormatting sqref="AR77">
    <cfRule type="colorScale" priority="1163">
      <colorScale>
        <cfvo type="min"/>
        <cfvo type="formula" val="1"/>
        <color theme="0"/>
        <color rgb="FF92D050"/>
      </colorScale>
    </cfRule>
  </conditionalFormatting>
  <conditionalFormatting sqref="AP83">
    <cfRule type="colorScale" priority="1164">
      <colorScale>
        <cfvo type="min"/>
        <cfvo type="formula" val="1"/>
        <color theme="0"/>
        <color rgb="FF92D050"/>
      </colorScale>
    </cfRule>
  </conditionalFormatting>
  <conditionalFormatting sqref="AP83">
    <cfRule type="colorScale" priority="1165">
      <colorScale>
        <cfvo type="formula" val="0"/>
        <cfvo type="formula" val="1"/>
        <cfvo type="formula" val="2"/>
        <color rgb="FFFFFFFF"/>
        <color rgb="FFFFFF00"/>
        <color rgb="FF00B050"/>
      </colorScale>
    </cfRule>
  </conditionalFormatting>
  <conditionalFormatting sqref="AR83">
    <cfRule type="colorScale" priority="1166">
      <colorScale>
        <cfvo type="min"/>
        <cfvo type="formula" val="1"/>
        <color theme="0"/>
        <color rgb="FF92D050"/>
      </colorScale>
    </cfRule>
  </conditionalFormatting>
  <conditionalFormatting sqref="AR83">
    <cfRule type="colorScale" priority="1167">
      <colorScale>
        <cfvo type="formula" val="0"/>
        <cfvo type="formula" val="1"/>
        <cfvo type="formula" val="2"/>
        <color rgb="FFFFFFFF"/>
        <color rgb="FFFFFF00"/>
        <color rgb="FF00B050"/>
      </colorScale>
    </cfRule>
  </conditionalFormatting>
  <conditionalFormatting sqref="AP89">
    <cfRule type="colorScale" priority="1168">
      <colorScale>
        <cfvo type="min"/>
        <cfvo type="formula" val="1"/>
        <color theme="0"/>
        <color rgb="FF92D050"/>
      </colorScale>
    </cfRule>
  </conditionalFormatting>
  <conditionalFormatting sqref="AP89">
    <cfRule type="colorScale" priority="1169">
      <colorScale>
        <cfvo type="formula" val="0"/>
        <cfvo type="formula" val="1"/>
        <cfvo type="formula" val="2"/>
        <color rgb="FFFFFFFF"/>
        <color rgb="FFFFFF00"/>
        <color rgb="FF00B050"/>
      </colorScale>
    </cfRule>
  </conditionalFormatting>
  <conditionalFormatting sqref="AR89">
    <cfRule type="colorScale" priority="1170">
      <colorScale>
        <cfvo type="min"/>
        <cfvo type="formula" val="1"/>
        <color theme="0"/>
        <color rgb="FF92D050"/>
      </colorScale>
    </cfRule>
  </conditionalFormatting>
  <conditionalFormatting sqref="AR89">
    <cfRule type="colorScale" priority="1171">
      <colorScale>
        <cfvo type="formula" val="0"/>
        <cfvo type="formula" val="1"/>
        <cfvo type="formula" val="2"/>
        <color rgb="FFFFFFFF"/>
        <color rgb="FFFFFF00"/>
        <color rgb="FF00B050"/>
      </colorScale>
    </cfRule>
  </conditionalFormatting>
  <conditionalFormatting sqref="AP95">
    <cfRule type="colorScale" priority="1172">
      <colorScale>
        <cfvo type="min"/>
        <cfvo type="formula" val="1"/>
        <color theme="0"/>
        <color rgb="FF92D050"/>
      </colorScale>
    </cfRule>
  </conditionalFormatting>
  <conditionalFormatting sqref="AP95">
    <cfRule type="colorScale" priority="1173">
      <colorScale>
        <cfvo type="formula" val="0"/>
        <cfvo type="formula" val="1"/>
        <cfvo type="formula" val="2"/>
        <color rgb="FFFFFFFF"/>
        <color rgb="FFFFFF00"/>
        <color rgb="FF00B050"/>
      </colorScale>
    </cfRule>
  </conditionalFormatting>
  <conditionalFormatting sqref="AR95">
    <cfRule type="colorScale" priority="1174">
      <colorScale>
        <cfvo type="min"/>
        <cfvo type="formula" val="1"/>
        <color theme="0"/>
        <color rgb="FF92D050"/>
      </colorScale>
    </cfRule>
  </conditionalFormatting>
  <conditionalFormatting sqref="AR95">
    <cfRule type="colorScale" priority="1175">
      <colorScale>
        <cfvo type="formula" val="0"/>
        <cfvo type="formula" val="1"/>
        <cfvo type="formula" val="2"/>
        <color rgb="FFFFFFFF"/>
        <color rgb="FFFFFF00"/>
        <color rgb="FF00B050"/>
      </colorScale>
    </cfRule>
  </conditionalFormatting>
  <conditionalFormatting sqref="AP101">
    <cfRule type="colorScale" priority="1176">
      <colorScale>
        <cfvo type="min"/>
        <cfvo type="formula" val="1"/>
        <color theme="0"/>
        <color rgb="FF92D050"/>
      </colorScale>
    </cfRule>
  </conditionalFormatting>
  <conditionalFormatting sqref="AP101">
    <cfRule type="colorScale" priority="1177">
      <colorScale>
        <cfvo type="formula" val="0"/>
        <cfvo type="formula" val="1"/>
        <cfvo type="formula" val="2"/>
        <color rgb="FFFFFFFF"/>
        <color rgb="FFFFFF00"/>
        <color rgb="FF00B050"/>
      </colorScale>
    </cfRule>
  </conditionalFormatting>
  <conditionalFormatting sqref="AR101">
    <cfRule type="colorScale" priority="1178">
      <colorScale>
        <cfvo type="min"/>
        <cfvo type="formula" val="1"/>
        <color theme="0"/>
        <color rgb="FF92D050"/>
      </colorScale>
    </cfRule>
  </conditionalFormatting>
  <conditionalFormatting sqref="AR101">
    <cfRule type="colorScale" priority="1179">
      <colorScale>
        <cfvo type="formula" val="0"/>
        <cfvo type="formula" val="1"/>
        <cfvo type="formula" val="2"/>
        <color rgb="FFFFFFFF"/>
        <color rgb="FFFFFF00"/>
        <color rgb="FF00B050"/>
      </colorScale>
    </cfRule>
  </conditionalFormatting>
  <conditionalFormatting sqref="AP107">
    <cfRule type="colorScale" priority="1180">
      <colorScale>
        <cfvo type="formula" val="0"/>
        <cfvo type="formula" val="1"/>
        <cfvo type="formula" val="2"/>
        <color rgb="FFFFFFFF"/>
        <color rgb="FFFFFF00"/>
        <color rgb="FF00B050"/>
      </colorScale>
    </cfRule>
  </conditionalFormatting>
  <conditionalFormatting sqref="AP107">
    <cfRule type="colorScale" priority="1181">
      <colorScale>
        <cfvo type="min"/>
        <cfvo type="formula" val="1"/>
        <color theme="0"/>
        <color rgb="FF92D050"/>
      </colorScale>
    </cfRule>
  </conditionalFormatting>
  <conditionalFormatting sqref="AR107">
    <cfRule type="colorScale" priority="1182">
      <colorScale>
        <cfvo type="formula" val="0"/>
        <cfvo type="formula" val="1"/>
        <cfvo type="formula" val="2"/>
        <color rgb="FFFFFFFF"/>
        <color rgb="FFFFFF00"/>
        <color rgb="FF00B050"/>
      </colorScale>
    </cfRule>
  </conditionalFormatting>
  <conditionalFormatting sqref="AR107">
    <cfRule type="colorScale" priority="1183">
      <colorScale>
        <cfvo type="min"/>
        <cfvo type="formula" val="1"/>
        <color theme="0"/>
        <color rgb="FF92D050"/>
      </colorScale>
    </cfRule>
  </conditionalFormatting>
  <conditionalFormatting sqref="AP113">
    <cfRule type="colorScale" priority="1184">
      <colorScale>
        <cfvo type="min"/>
        <cfvo type="formula" val="1"/>
        <color theme="0"/>
        <color rgb="FF92D050"/>
      </colorScale>
    </cfRule>
  </conditionalFormatting>
  <conditionalFormatting sqref="AP113">
    <cfRule type="colorScale" priority="1185">
      <colorScale>
        <cfvo type="formula" val="0"/>
        <cfvo type="formula" val="1"/>
        <cfvo type="formula" val="2"/>
        <color rgb="FFFFFFFF"/>
        <color rgb="FFFFFF00"/>
        <color rgb="FF00B050"/>
      </colorScale>
    </cfRule>
  </conditionalFormatting>
  <conditionalFormatting sqref="AR113">
    <cfRule type="colorScale" priority="1186">
      <colorScale>
        <cfvo type="min"/>
        <cfvo type="formula" val="1"/>
        <color theme="0"/>
        <color rgb="FF92D050"/>
      </colorScale>
    </cfRule>
  </conditionalFormatting>
  <conditionalFormatting sqref="AR113">
    <cfRule type="colorScale" priority="1187">
      <colorScale>
        <cfvo type="formula" val="0"/>
        <cfvo type="formula" val="1"/>
        <cfvo type="formula" val="2"/>
        <color rgb="FFFFFFFF"/>
        <color rgb="FFFFFF00"/>
        <color rgb="FF00B050"/>
      </colorScale>
    </cfRule>
  </conditionalFormatting>
  <conditionalFormatting sqref="AP119">
    <cfRule type="colorScale" priority="1188">
      <colorScale>
        <cfvo type="min"/>
        <cfvo type="formula" val="1"/>
        <color theme="0"/>
        <color rgb="FF92D050"/>
      </colorScale>
    </cfRule>
  </conditionalFormatting>
  <conditionalFormatting sqref="AP119">
    <cfRule type="colorScale" priority="1189">
      <colorScale>
        <cfvo type="formula" val="0"/>
        <cfvo type="formula" val="1"/>
        <cfvo type="formula" val="2"/>
        <color rgb="FFFFFFFF"/>
        <color rgb="FFFFFF00"/>
        <color rgb="FF00B050"/>
      </colorScale>
    </cfRule>
  </conditionalFormatting>
  <conditionalFormatting sqref="AR119">
    <cfRule type="colorScale" priority="1190">
      <colorScale>
        <cfvo type="min"/>
        <cfvo type="formula" val="1"/>
        <color theme="0"/>
        <color rgb="FF92D050"/>
      </colorScale>
    </cfRule>
  </conditionalFormatting>
  <conditionalFormatting sqref="AR119">
    <cfRule type="colorScale" priority="1191">
      <colorScale>
        <cfvo type="formula" val="0"/>
        <cfvo type="formula" val="1"/>
        <cfvo type="formula" val="2"/>
        <color rgb="FFFFFFFF"/>
        <color rgb="FFFFFF00"/>
        <color rgb="FF00B050"/>
      </colorScale>
    </cfRule>
  </conditionalFormatting>
  <conditionalFormatting sqref="AV119">
    <cfRule type="colorScale" priority="1192">
      <colorScale>
        <cfvo type="min"/>
        <cfvo type="formula" val="1"/>
        <color theme="0"/>
        <color rgb="FF92D050"/>
      </colorScale>
    </cfRule>
  </conditionalFormatting>
  <conditionalFormatting sqref="AV119">
    <cfRule type="colorScale" priority="1193">
      <colorScale>
        <cfvo type="formula" val="0"/>
        <cfvo type="formula" val="1"/>
        <cfvo type="formula" val="2"/>
        <color rgb="FFFFFFFF"/>
        <color rgb="FFFFFF00"/>
        <color rgb="FF00B050"/>
      </colorScale>
    </cfRule>
  </conditionalFormatting>
  <conditionalFormatting sqref="AP13">
    <cfRule type="colorScale" priority="1194">
      <colorScale>
        <cfvo type="min"/>
        <cfvo type="formula" val="1"/>
        <color theme="0"/>
        <color rgb="FF92D050"/>
      </colorScale>
    </cfRule>
  </conditionalFormatting>
  <conditionalFormatting sqref="AP13">
    <cfRule type="colorScale" priority="1195">
      <colorScale>
        <cfvo type="formula" val="0"/>
        <cfvo type="formula" val="1"/>
        <cfvo type="formula" val="2"/>
        <color rgb="FFFFFFFF"/>
        <color rgb="FFFFFF00"/>
        <color rgb="FF00B050"/>
      </colorScale>
    </cfRule>
  </conditionalFormatting>
  <conditionalFormatting sqref="AP16">
    <cfRule type="colorScale" priority="1196">
      <colorScale>
        <cfvo type="min"/>
        <cfvo type="formula" val="1"/>
        <color theme="0"/>
        <color rgb="FF92D050"/>
      </colorScale>
    </cfRule>
  </conditionalFormatting>
  <conditionalFormatting sqref="AP16">
    <cfRule type="colorScale" priority="1197">
      <colorScale>
        <cfvo type="formula" val="0"/>
        <cfvo type="formula" val="1"/>
        <cfvo type="formula" val="2"/>
        <color rgb="FFFFFFFF"/>
        <color rgb="FFFFFF00"/>
        <color rgb="FF00B050"/>
      </colorScale>
    </cfRule>
  </conditionalFormatting>
  <conditionalFormatting sqref="AR16">
    <cfRule type="colorScale" priority="1198">
      <colorScale>
        <cfvo type="min"/>
        <cfvo type="formula" val="1"/>
        <color theme="0"/>
        <color rgb="FF92D050"/>
      </colorScale>
    </cfRule>
  </conditionalFormatting>
  <conditionalFormatting sqref="AR16">
    <cfRule type="colorScale" priority="1199">
      <colorScale>
        <cfvo type="formula" val="0"/>
        <cfvo type="formula" val="1"/>
        <cfvo type="formula" val="2"/>
        <color rgb="FFFFFFFF"/>
        <color rgb="FFFFFF00"/>
        <color rgb="FF00B050"/>
      </colorScale>
    </cfRule>
  </conditionalFormatting>
  <printOptions horizontalCentered="1" verticalCentered="1"/>
  <pageMargins bottom="0.3937007874015748" footer="0.0" header="0.0" left="0.3937007874015748" right="0.7874015748031497" top="0.3937007874015748"/>
  <pageSetup paperSize="9" scale="71"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75"/>
  <cols>
    <col customWidth="1" min="1" max="1" width="11.14"/>
    <col customWidth="1" min="2" max="2" width="23.86"/>
    <col customWidth="1" min="3" max="3" width="13.57"/>
    <col customWidth="1" min="4" max="4" width="11.71"/>
    <col hidden="1" min="5" max="6" width="14.43"/>
    <col customWidth="1" min="7" max="7" width="21.29"/>
    <col customWidth="1" min="8" max="9" width="9.57"/>
    <col hidden="1" min="10" max="11" width="14.43"/>
    <col customWidth="1" min="12" max="12" width="9.57"/>
    <col customWidth="1" min="13" max="13" width="89.29"/>
    <col customWidth="1" min="14" max="14" width="2.29"/>
    <col hidden="1" min="15" max="21" width="14.43"/>
    <col customWidth="1" min="22" max="23" width="8.29"/>
    <col customWidth="1" min="24" max="24" width="9.43"/>
    <col customWidth="1" min="25" max="25" width="9.57"/>
    <col customWidth="1" min="26" max="26" width="9.14"/>
  </cols>
  <sheetData>
    <row r="1">
      <c r="A1" s="411" t="s">
        <v>106</v>
      </c>
      <c r="B1" s="412"/>
      <c r="C1" s="412"/>
      <c r="D1" s="412"/>
      <c r="E1" s="412"/>
      <c r="F1" s="412"/>
      <c r="G1" s="412"/>
      <c r="H1" s="412"/>
      <c r="I1" s="412"/>
      <c r="J1" s="412"/>
      <c r="K1" s="412"/>
      <c r="L1" s="412"/>
      <c r="M1" s="58"/>
      <c r="N1" s="413"/>
      <c r="O1" s="413"/>
      <c r="P1" s="413"/>
      <c r="Q1" s="413"/>
      <c r="R1" s="413"/>
      <c r="S1" s="413"/>
      <c r="T1" s="413"/>
      <c r="U1" s="413"/>
      <c r="V1" s="414" t="s">
        <v>107</v>
      </c>
      <c r="W1" s="415"/>
      <c r="X1" s="415"/>
      <c r="Y1" s="415"/>
      <c r="Z1" s="416"/>
    </row>
    <row r="2">
      <c r="A2" s="417"/>
      <c r="M2" s="33"/>
      <c r="N2" s="413"/>
      <c r="O2" s="413"/>
      <c r="P2" s="413"/>
      <c r="Q2" s="413"/>
      <c r="R2" s="413"/>
      <c r="S2" s="413"/>
      <c r="T2" s="413"/>
      <c r="U2" s="413"/>
      <c r="V2" s="418" t="s">
        <v>108</v>
      </c>
      <c r="W2" s="364"/>
      <c r="X2" s="419" t="s">
        <v>109</v>
      </c>
      <c r="Y2" s="420"/>
      <c r="Z2" s="421" t="s">
        <v>107</v>
      </c>
    </row>
    <row r="3">
      <c r="A3" s="71"/>
      <c r="B3" s="45"/>
      <c r="C3" s="45"/>
      <c r="D3" s="45"/>
      <c r="E3" s="45"/>
      <c r="F3" s="45"/>
      <c r="G3" s="45"/>
      <c r="H3" s="45"/>
      <c r="I3" s="45"/>
      <c r="J3" s="45"/>
      <c r="K3" s="45"/>
      <c r="L3" s="45"/>
      <c r="M3" s="46"/>
      <c r="N3" s="413"/>
      <c r="O3" s="413"/>
      <c r="P3" s="413"/>
      <c r="Q3" s="422"/>
      <c r="R3" s="422"/>
      <c r="S3" s="422"/>
      <c r="T3" s="422"/>
      <c r="U3" s="422"/>
      <c r="V3" s="423" t="s">
        <v>110</v>
      </c>
      <c r="W3" s="424" t="s">
        <v>111</v>
      </c>
      <c r="X3" s="425" t="s">
        <v>112</v>
      </c>
      <c r="Y3" s="426" t="s">
        <v>113</v>
      </c>
      <c r="Z3" s="427"/>
    </row>
    <row r="4">
      <c r="A4" s="428" t="s">
        <v>114</v>
      </c>
      <c r="B4" s="429" t="s">
        <v>115</v>
      </c>
      <c r="C4" s="429" t="s">
        <v>116</v>
      </c>
      <c r="D4" s="430" t="s">
        <v>117</v>
      </c>
      <c r="E4" s="431" t="s">
        <v>118</v>
      </c>
      <c r="F4" s="432" t="s">
        <v>119</v>
      </c>
      <c r="G4" s="433" t="s">
        <v>120</v>
      </c>
      <c r="H4" s="434" t="s">
        <v>121</v>
      </c>
      <c r="I4" s="435" t="s">
        <v>122</v>
      </c>
      <c r="J4" s="436" t="s">
        <v>109</v>
      </c>
      <c r="K4" s="437"/>
      <c r="L4" s="430" t="s">
        <v>123</v>
      </c>
      <c r="M4" s="438" t="s">
        <v>124</v>
      </c>
      <c r="N4" s="413"/>
      <c r="O4" s="413"/>
      <c r="P4" s="413"/>
      <c r="Q4" s="439"/>
      <c r="R4" s="439"/>
      <c r="S4" s="439"/>
      <c r="T4" s="439"/>
      <c r="U4" s="439"/>
      <c r="V4" s="440">
        <f t="shared" ref="V4:Z4" si="1">SUBTOTAL(9,H6:H499)</f>
        <v>287</v>
      </c>
      <c r="W4" s="441">
        <f t="shared" si="1"/>
        <v>8.257638889</v>
      </c>
      <c r="X4" s="442">
        <f t="shared" si="1"/>
        <v>61</v>
      </c>
      <c r="Y4" s="443">
        <f t="shared" si="1"/>
        <v>2.545138889</v>
      </c>
      <c r="Z4" s="444">
        <f t="shared" si="1"/>
        <v>102</v>
      </c>
    </row>
    <row r="5" hidden="1">
      <c r="A5" s="445">
        <v>45809.0</v>
      </c>
      <c r="B5" s="446" t="s">
        <v>83</v>
      </c>
      <c r="C5" s="447" t="s">
        <v>70</v>
      </c>
      <c r="D5" s="447" t="s">
        <v>125</v>
      </c>
      <c r="E5" s="447" t="s">
        <v>126</v>
      </c>
      <c r="F5" s="439"/>
      <c r="G5" s="448" t="s">
        <v>127</v>
      </c>
      <c r="H5" s="447">
        <v>1.0</v>
      </c>
      <c r="I5" s="449">
        <v>0.014583333333333332</v>
      </c>
      <c r="J5" s="450"/>
      <c r="K5" s="451"/>
      <c r="L5" s="447">
        <v>1.0</v>
      </c>
      <c r="M5" s="446" t="s">
        <v>128</v>
      </c>
      <c r="N5" s="413"/>
      <c r="O5" s="413"/>
      <c r="P5" s="413"/>
      <c r="Q5" s="413"/>
      <c r="R5" s="413"/>
      <c r="S5" s="413"/>
      <c r="T5" s="413"/>
      <c r="U5" s="413"/>
      <c r="V5" s="413"/>
      <c r="W5" s="413"/>
      <c r="X5" s="413"/>
      <c r="Y5" s="413"/>
      <c r="Z5" s="413"/>
    </row>
    <row r="6" hidden="1">
      <c r="A6" s="452">
        <v>45810.0</v>
      </c>
      <c r="B6" s="453" t="s">
        <v>77</v>
      </c>
      <c r="C6" s="454" t="s">
        <v>78</v>
      </c>
      <c r="D6" s="454" t="s">
        <v>125</v>
      </c>
      <c r="E6" s="454" t="s">
        <v>126</v>
      </c>
      <c r="F6" s="439"/>
      <c r="G6" s="455" t="s">
        <v>129</v>
      </c>
      <c r="H6" s="454">
        <v>1.0</v>
      </c>
      <c r="I6" s="456">
        <v>0.03888888888888889</v>
      </c>
      <c r="J6" s="454">
        <v>1.0</v>
      </c>
      <c r="K6" s="457">
        <v>0.03888888888888889</v>
      </c>
      <c r="L6" s="454"/>
      <c r="M6" s="453" t="s">
        <v>130</v>
      </c>
      <c r="N6" s="413"/>
      <c r="O6" s="413"/>
      <c r="P6" s="413"/>
      <c r="Q6" s="413"/>
      <c r="R6" s="413"/>
      <c r="S6" s="413"/>
      <c r="T6" s="413"/>
      <c r="U6" s="413"/>
      <c r="V6" s="413"/>
      <c r="W6" s="413"/>
      <c r="X6" s="413"/>
      <c r="Y6" s="413"/>
      <c r="Z6" s="413"/>
    </row>
    <row r="7" hidden="1">
      <c r="A7" s="452">
        <v>45811.0</v>
      </c>
      <c r="B7" s="453" t="s">
        <v>71</v>
      </c>
      <c r="C7" s="454" t="s">
        <v>70</v>
      </c>
      <c r="D7" s="454" t="s">
        <v>125</v>
      </c>
      <c r="E7" s="454" t="s">
        <v>126</v>
      </c>
      <c r="F7" s="439"/>
      <c r="G7" s="455" t="s">
        <v>127</v>
      </c>
      <c r="H7" s="454">
        <v>1.0</v>
      </c>
      <c r="I7" s="456">
        <v>0.006944444444444444</v>
      </c>
      <c r="J7" s="439"/>
      <c r="K7" s="458"/>
      <c r="L7" s="454">
        <v>1.0</v>
      </c>
      <c r="M7" s="453" t="s">
        <v>128</v>
      </c>
      <c r="N7" s="413"/>
      <c r="O7" s="413"/>
      <c r="P7" s="413"/>
      <c r="Q7" s="413"/>
      <c r="R7" s="413"/>
      <c r="S7" s="413"/>
      <c r="T7" s="413"/>
      <c r="U7" s="413"/>
      <c r="V7" s="413"/>
      <c r="W7" s="413"/>
      <c r="X7" s="413"/>
      <c r="Y7" s="413"/>
      <c r="Z7" s="413"/>
    </row>
    <row r="8" hidden="1">
      <c r="A8" s="452">
        <v>45812.0</v>
      </c>
      <c r="B8" s="453" t="s">
        <v>71</v>
      </c>
      <c r="C8" s="454" t="s">
        <v>70</v>
      </c>
      <c r="D8" s="454" t="s">
        <v>131</v>
      </c>
      <c r="E8" s="454" t="s">
        <v>126</v>
      </c>
      <c r="F8" s="439"/>
      <c r="G8" s="455" t="s">
        <v>127</v>
      </c>
      <c r="H8" s="454">
        <v>1.0</v>
      </c>
      <c r="I8" s="456">
        <v>0.006944444444444444</v>
      </c>
      <c r="J8" s="439"/>
      <c r="K8" s="458"/>
      <c r="L8" s="454">
        <v>1.0</v>
      </c>
      <c r="M8" s="453" t="s">
        <v>128</v>
      </c>
      <c r="N8" s="413"/>
      <c r="O8" s="413"/>
      <c r="P8" s="413"/>
      <c r="Q8" s="413"/>
      <c r="R8" s="413"/>
      <c r="S8" s="413"/>
      <c r="T8" s="413"/>
      <c r="U8" s="413"/>
      <c r="V8" s="413"/>
      <c r="W8" s="413"/>
      <c r="X8" s="413"/>
      <c r="Y8" s="413"/>
      <c r="Z8" s="413"/>
    </row>
    <row r="9" hidden="1">
      <c r="A9" s="452">
        <v>45813.0</v>
      </c>
      <c r="B9" s="453" t="s">
        <v>77</v>
      </c>
      <c r="C9" s="454" t="s">
        <v>78</v>
      </c>
      <c r="D9" s="454" t="s">
        <v>132</v>
      </c>
      <c r="E9" s="454" t="s">
        <v>126</v>
      </c>
      <c r="F9" s="439"/>
      <c r="G9" s="455" t="s">
        <v>129</v>
      </c>
      <c r="H9" s="454">
        <v>1.0</v>
      </c>
      <c r="I9" s="456">
        <v>0.04305555555555556</v>
      </c>
      <c r="J9" s="454">
        <v>1.0</v>
      </c>
      <c r="K9" s="457">
        <v>0.04305555555555556</v>
      </c>
      <c r="L9" s="454"/>
      <c r="M9" s="453" t="s">
        <v>130</v>
      </c>
      <c r="N9" s="413"/>
      <c r="O9" s="413"/>
      <c r="P9" s="413"/>
      <c r="Q9" s="413"/>
      <c r="R9" s="413"/>
      <c r="S9" s="413"/>
      <c r="T9" s="413"/>
      <c r="U9" s="413"/>
      <c r="V9" s="413"/>
      <c r="W9" s="413"/>
      <c r="X9" s="413"/>
      <c r="Y9" s="413"/>
      <c r="Z9" s="413"/>
    </row>
    <row r="10" hidden="1">
      <c r="A10" s="452">
        <v>45814.0</v>
      </c>
      <c r="B10" s="453" t="s">
        <v>71</v>
      </c>
      <c r="C10" s="454" t="s">
        <v>70</v>
      </c>
      <c r="D10" s="454" t="s">
        <v>125</v>
      </c>
      <c r="E10" s="454" t="s">
        <v>126</v>
      </c>
      <c r="F10" s="439"/>
      <c r="G10" s="455" t="s">
        <v>127</v>
      </c>
      <c r="H10" s="454">
        <v>1.0</v>
      </c>
      <c r="I10" s="456">
        <v>0.0062499999999999995</v>
      </c>
      <c r="J10" s="439"/>
      <c r="K10" s="458"/>
      <c r="L10" s="454">
        <v>1.0</v>
      </c>
      <c r="M10" s="453" t="s">
        <v>128</v>
      </c>
      <c r="N10" s="413"/>
      <c r="O10" s="413"/>
      <c r="P10" s="413"/>
      <c r="Q10" s="413"/>
      <c r="R10" s="413"/>
      <c r="S10" s="413"/>
      <c r="T10" s="413"/>
      <c r="U10" s="413"/>
      <c r="V10" s="413"/>
      <c r="W10" s="413"/>
      <c r="X10" s="413"/>
      <c r="Y10" s="413"/>
      <c r="Z10" s="413"/>
    </row>
    <row r="11" hidden="1">
      <c r="A11" s="452">
        <v>45815.0</v>
      </c>
      <c r="B11" s="453" t="s">
        <v>77</v>
      </c>
      <c r="C11" s="454" t="s">
        <v>78</v>
      </c>
      <c r="D11" s="454" t="s">
        <v>132</v>
      </c>
      <c r="E11" s="454" t="s">
        <v>126</v>
      </c>
      <c r="F11" s="439"/>
      <c r="G11" s="455" t="s">
        <v>129</v>
      </c>
      <c r="H11" s="454">
        <v>1.0</v>
      </c>
      <c r="I11" s="456">
        <v>0.03125</v>
      </c>
      <c r="J11" s="454">
        <v>1.0</v>
      </c>
      <c r="K11" s="457">
        <v>0.03125</v>
      </c>
      <c r="L11" s="454">
        <v>1.0</v>
      </c>
      <c r="M11" s="453" t="s">
        <v>130</v>
      </c>
      <c r="N11" s="413"/>
      <c r="O11" s="413"/>
      <c r="P11" s="413"/>
      <c r="Q11" s="413"/>
      <c r="R11" s="413"/>
      <c r="S11" s="413"/>
      <c r="T11" s="413"/>
      <c r="U11" s="413"/>
      <c r="V11" s="413"/>
      <c r="W11" s="413"/>
      <c r="X11" s="413"/>
      <c r="Y11" s="413"/>
      <c r="Z11" s="413"/>
    </row>
    <row r="12" hidden="1">
      <c r="A12" s="452">
        <v>45817.0</v>
      </c>
      <c r="B12" s="453" t="s">
        <v>77</v>
      </c>
      <c r="C12" s="454" t="s">
        <v>78</v>
      </c>
      <c r="D12" s="454" t="s">
        <v>125</v>
      </c>
      <c r="E12" s="454" t="s">
        <v>126</v>
      </c>
      <c r="F12" s="439"/>
      <c r="G12" s="455" t="s">
        <v>129</v>
      </c>
      <c r="H12" s="454">
        <v>1.0</v>
      </c>
      <c r="I12" s="456">
        <v>0.06666666666666667</v>
      </c>
      <c r="J12" s="454">
        <v>1.0</v>
      </c>
      <c r="K12" s="457">
        <v>0.06666666666666667</v>
      </c>
      <c r="L12" s="454">
        <v>1.0</v>
      </c>
      <c r="M12" s="453" t="s">
        <v>130</v>
      </c>
      <c r="N12" s="413"/>
      <c r="O12" s="413"/>
      <c r="P12" s="413"/>
      <c r="Q12" s="413"/>
      <c r="R12" s="413"/>
      <c r="S12" s="413"/>
      <c r="T12" s="413"/>
      <c r="U12" s="413"/>
      <c r="V12" s="413"/>
      <c r="W12" s="413"/>
      <c r="X12" s="413"/>
      <c r="Y12" s="413"/>
      <c r="Z12" s="413"/>
    </row>
    <row r="13" hidden="1">
      <c r="A13" s="452">
        <v>45817.0</v>
      </c>
      <c r="B13" s="453" t="s">
        <v>83</v>
      </c>
      <c r="C13" s="454" t="s">
        <v>70</v>
      </c>
      <c r="D13" s="454" t="s">
        <v>125</v>
      </c>
      <c r="E13" s="454" t="s">
        <v>126</v>
      </c>
      <c r="F13" s="439"/>
      <c r="G13" s="455" t="s">
        <v>127</v>
      </c>
      <c r="H13" s="454">
        <v>5.0</v>
      </c>
      <c r="I13" s="456">
        <v>0.2222222222222222</v>
      </c>
      <c r="J13" s="439"/>
      <c r="K13" s="458"/>
      <c r="L13" s="454"/>
      <c r="M13" s="453" t="s">
        <v>133</v>
      </c>
      <c r="N13" s="413"/>
      <c r="O13" s="413"/>
      <c r="P13" s="413"/>
      <c r="Q13" s="413"/>
      <c r="R13" s="413"/>
      <c r="S13" s="413"/>
      <c r="T13" s="413"/>
      <c r="U13" s="413"/>
      <c r="V13" s="413"/>
      <c r="W13" s="413"/>
      <c r="X13" s="413"/>
      <c r="Y13" s="413"/>
      <c r="Z13" s="413"/>
    </row>
    <row r="14" hidden="1">
      <c r="A14" s="452">
        <v>45817.0</v>
      </c>
      <c r="B14" s="439" t="s">
        <v>75</v>
      </c>
      <c r="C14" s="454" t="s">
        <v>55</v>
      </c>
      <c r="D14" s="454" t="s">
        <v>125</v>
      </c>
      <c r="E14" s="454" t="s">
        <v>126</v>
      </c>
      <c r="F14" s="439"/>
      <c r="G14" s="455" t="s">
        <v>134</v>
      </c>
      <c r="H14" s="454">
        <v>2.0</v>
      </c>
      <c r="I14" s="456">
        <v>0.05694444444444444</v>
      </c>
      <c r="J14" s="439"/>
      <c r="K14" s="458"/>
      <c r="L14" s="454">
        <v>1.0</v>
      </c>
      <c r="M14" s="453" t="s">
        <v>135</v>
      </c>
      <c r="N14" s="413"/>
      <c r="O14" s="413"/>
      <c r="P14" s="413"/>
      <c r="Q14" s="413"/>
      <c r="R14" s="413"/>
      <c r="S14" s="413"/>
      <c r="T14" s="413"/>
      <c r="U14" s="413"/>
      <c r="V14" s="413"/>
      <c r="W14" s="413"/>
      <c r="X14" s="413"/>
      <c r="Y14" s="413"/>
      <c r="Z14" s="413"/>
    </row>
    <row r="15" hidden="1">
      <c r="A15" s="452">
        <v>45818.0</v>
      </c>
      <c r="B15" s="439" t="s">
        <v>75</v>
      </c>
      <c r="C15" s="454" t="s">
        <v>55</v>
      </c>
      <c r="D15" s="454" t="s">
        <v>125</v>
      </c>
      <c r="E15" s="454" t="s">
        <v>126</v>
      </c>
      <c r="F15" s="439"/>
      <c r="G15" s="455" t="s">
        <v>134</v>
      </c>
      <c r="H15" s="454">
        <v>1.0</v>
      </c>
      <c r="I15" s="456">
        <v>0.020833333333333332</v>
      </c>
      <c r="J15" s="439"/>
      <c r="K15" s="458"/>
      <c r="L15" s="454">
        <v>1.0</v>
      </c>
      <c r="M15" s="453" t="s">
        <v>135</v>
      </c>
      <c r="N15" s="413"/>
      <c r="O15" s="413"/>
      <c r="P15" s="413"/>
      <c r="Q15" s="413"/>
      <c r="R15" s="413"/>
      <c r="S15" s="413"/>
      <c r="T15" s="413"/>
      <c r="U15" s="413"/>
      <c r="V15" s="413"/>
      <c r="W15" s="413"/>
      <c r="X15" s="413"/>
      <c r="Y15" s="413"/>
      <c r="Z15" s="413"/>
    </row>
    <row r="16" hidden="1">
      <c r="A16" s="452">
        <v>45818.0</v>
      </c>
      <c r="B16" s="453" t="s">
        <v>77</v>
      </c>
      <c r="C16" s="454" t="s">
        <v>78</v>
      </c>
      <c r="D16" s="454" t="s">
        <v>132</v>
      </c>
      <c r="E16" s="454" t="s">
        <v>126</v>
      </c>
      <c r="F16" s="439"/>
      <c r="G16" s="455" t="s">
        <v>129</v>
      </c>
      <c r="H16" s="454">
        <v>1.0</v>
      </c>
      <c r="I16" s="456">
        <v>0.075</v>
      </c>
      <c r="J16" s="454">
        <v>1.0</v>
      </c>
      <c r="K16" s="457">
        <v>0.075</v>
      </c>
      <c r="L16" s="454">
        <v>1.0</v>
      </c>
      <c r="M16" s="453" t="s">
        <v>130</v>
      </c>
      <c r="N16" s="413"/>
      <c r="O16" s="413"/>
      <c r="P16" s="413"/>
      <c r="Q16" s="413"/>
      <c r="R16" s="413"/>
      <c r="S16" s="413"/>
      <c r="T16" s="413"/>
      <c r="U16" s="413"/>
      <c r="V16" s="413"/>
      <c r="W16" s="413"/>
      <c r="X16" s="413"/>
      <c r="Y16" s="413"/>
      <c r="Z16" s="413"/>
    </row>
    <row r="17" hidden="1">
      <c r="A17" s="452">
        <v>45819.0</v>
      </c>
      <c r="B17" s="453" t="s">
        <v>77</v>
      </c>
      <c r="C17" s="454" t="s">
        <v>78</v>
      </c>
      <c r="D17" s="454" t="s">
        <v>125</v>
      </c>
      <c r="E17" s="454" t="s">
        <v>126</v>
      </c>
      <c r="F17" s="439"/>
      <c r="G17" s="455" t="s">
        <v>129</v>
      </c>
      <c r="H17" s="454">
        <v>1.0</v>
      </c>
      <c r="I17" s="456">
        <v>0.0625</v>
      </c>
      <c r="J17" s="454">
        <v>1.0</v>
      </c>
      <c r="K17" s="457">
        <v>0.0625</v>
      </c>
      <c r="L17" s="454">
        <v>1.0</v>
      </c>
      <c r="M17" s="453" t="s">
        <v>130</v>
      </c>
      <c r="N17" s="413"/>
      <c r="O17" s="413"/>
      <c r="P17" s="413"/>
      <c r="Q17" s="413"/>
      <c r="R17" s="413"/>
      <c r="S17" s="413"/>
      <c r="T17" s="413"/>
      <c r="U17" s="413"/>
      <c r="V17" s="413"/>
      <c r="W17" s="413"/>
      <c r="X17" s="413"/>
      <c r="Y17" s="413"/>
      <c r="Z17" s="413"/>
    </row>
    <row r="18" hidden="1">
      <c r="A18" s="452">
        <v>45819.0</v>
      </c>
      <c r="B18" s="453" t="s">
        <v>84</v>
      </c>
      <c r="C18" s="454" t="s">
        <v>70</v>
      </c>
      <c r="D18" s="454" t="s">
        <v>125</v>
      </c>
      <c r="E18" s="454" t="s">
        <v>126</v>
      </c>
      <c r="F18" s="439"/>
      <c r="G18" s="455" t="s">
        <v>129</v>
      </c>
      <c r="H18" s="454">
        <v>3.0</v>
      </c>
      <c r="I18" s="456">
        <v>0.06666666666666667</v>
      </c>
      <c r="J18" s="454">
        <v>3.0</v>
      </c>
      <c r="K18" s="457">
        <v>0.06666666666666667</v>
      </c>
      <c r="L18" s="454">
        <v>3.0</v>
      </c>
      <c r="M18" s="453" t="s">
        <v>136</v>
      </c>
      <c r="N18" s="413"/>
      <c r="O18" s="413"/>
      <c r="P18" s="413"/>
      <c r="Q18" s="413"/>
      <c r="R18" s="413"/>
      <c r="S18" s="413"/>
      <c r="T18" s="413"/>
      <c r="U18" s="413"/>
      <c r="V18" s="413"/>
      <c r="W18" s="413"/>
      <c r="X18" s="413"/>
      <c r="Y18" s="413"/>
      <c r="Z18" s="413"/>
    </row>
    <row r="19" hidden="1">
      <c r="A19" s="452">
        <v>45820.0</v>
      </c>
      <c r="B19" s="453" t="s">
        <v>84</v>
      </c>
      <c r="C19" s="454" t="s">
        <v>70</v>
      </c>
      <c r="D19" s="454" t="s">
        <v>125</v>
      </c>
      <c r="E19" s="454" t="s">
        <v>126</v>
      </c>
      <c r="F19" s="439"/>
      <c r="G19" s="455" t="s">
        <v>129</v>
      </c>
      <c r="H19" s="454">
        <v>4.0</v>
      </c>
      <c r="I19" s="456">
        <v>0.05069444444444445</v>
      </c>
      <c r="J19" s="454">
        <v>3.0</v>
      </c>
      <c r="K19" s="457">
        <v>0.034027777777777775</v>
      </c>
      <c r="L19" s="454">
        <v>7.0</v>
      </c>
      <c r="M19" s="453" t="s">
        <v>136</v>
      </c>
      <c r="N19" s="413"/>
      <c r="O19" s="413"/>
      <c r="P19" s="413"/>
      <c r="Q19" s="413"/>
      <c r="R19" s="413"/>
      <c r="S19" s="413"/>
      <c r="T19" s="413"/>
      <c r="U19" s="413"/>
      <c r="V19" s="413"/>
      <c r="W19" s="413"/>
      <c r="X19" s="413"/>
      <c r="Y19" s="413"/>
      <c r="Z19" s="413"/>
    </row>
    <row r="20" hidden="1">
      <c r="A20" s="452">
        <v>45820.0</v>
      </c>
      <c r="B20" s="439" t="s">
        <v>75</v>
      </c>
      <c r="C20" s="454" t="s">
        <v>55</v>
      </c>
      <c r="D20" s="454" t="s">
        <v>125</v>
      </c>
      <c r="E20" s="454" t="s">
        <v>126</v>
      </c>
      <c r="F20" s="439"/>
      <c r="G20" s="455" t="s">
        <v>134</v>
      </c>
      <c r="H20" s="454">
        <v>3.0</v>
      </c>
      <c r="I20" s="456">
        <v>0.04513888888888889</v>
      </c>
      <c r="J20" s="459"/>
      <c r="K20" s="458"/>
      <c r="L20" s="454"/>
      <c r="M20" s="453" t="s">
        <v>135</v>
      </c>
      <c r="N20" s="413"/>
      <c r="O20" s="413"/>
      <c r="P20" s="413"/>
      <c r="Q20" s="413"/>
      <c r="R20" s="413"/>
      <c r="S20" s="413"/>
      <c r="T20" s="413"/>
      <c r="U20" s="413"/>
      <c r="V20" s="413"/>
      <c r="W20" s="413"/>
      <c r="X20" s="413"/>
      <c r="Y20" s="413"/>
      <c r="Z20" s="413"/>
    </row>
    <row r="21" hidden="1">
      <c r="A21" s="452">
        <v>45825.0</v>
      </c>
      <c r="B21" s="453" t="s">
        <v>80</v>
      </c>
      <c r="C21" s="454" t="s">
        <v>78</v>
      </c>
      <c r="D21" s="454" t="s">
        <v>131</v>
      </c>
      <c r="E21" s="454" t="s">
        <v>126</v>
      </c>
      <c r="F21" s="439"/>
      <c r="G21" s="455" t="s">
        <v>134</v>
      </c>
      <c r="H21" s="454">
        <v>1.0</v>
      </c>
      <c r="I21" s="456">
        <v>0.018055555555555557</v>
      </c>
      <c r="J21" s="459"/>
      <c r="K21" s="458"/>
      <c r="L21" s="454"/>
      <c r="M21" s="460" t="s">
        <v>137</v>
      </c>
      <c r="N21" s="413"/>
      <c r="O21" s="413"/>
      <c r="P21" s="413"/>
      <c r="Q21" s="413"/>
      <c r="R21" s="413"/>
      <c r="S21" s="413"/>
      <c r="T21" s="413"/>
      <c r="U21" s="413"/>
      <c r="V21" s="413"/>
      <c r="W21" s="413"/>
      <c r="X21" s="413"/>
      <c r="Y21" s="413"/>
      <c r="Z21" s="413"/>
    </row>
    <row r="22" hidden="1">
      <c r="A22" s="452">
        <v>45825.0</v>
      </c>
      <c r="B22" s="461" t="s">
        <v>86</v>
      </c>
      <c r="C22" s="454" t="s">
        <v>87</v>
      </c>
      <c r="D22" s="454" t="s">
        <v>125</v>
      </c>
      <c r="E22" s="454" t="s">
        <v>126</v>
      </c>
      <c r="F22" s="439"/>
      <c r="G22" s="455" t="s">
        <v>134</v>
      </c>
      <c r="H22" s="454">
        <v>2.0</v>
      </c>
      <c r="I22" s="456">
        <v>0.04305555555555556</v>
      </c>
      <c r="J22" s="439"/>
      <c r="K22" s="458"/>
      <c r="L22" s="454"/>
      <c r="M22" s="453" t="s">
        <v>135</v>
      </c>
      <c r="N22" s="413"/>
      <c r="O22" s="413"/>
      <c r="P22" s="413"/>
      <c r="Q22" s="413"/>
      <c r="R22" s="413"/>
      <c r="S22" s="413"/>
      <c r="T22" s="413"/>
      <c r="U22" s="413"/>
      <c r="V22" s="413"/>
      <c r="W22" s="413"/>
      <c r="X22" s="413"/>
      <c r="Y22" s="413"/>
      <c r="Z22" s="413"/>
    </row>
    <row r="23" hidden="1">
      <c r="A23" s="452">
        <v>45825.0</v>
      </c>
      <c r="B23" s="453" t="s">
        <v>71</v>
      </c>
      <c r="C23" s="454" t="s">
        <v>70</v>
      </c>
      <c r="D23" s="454" t="s">
        <v>125</v>
      </c>
      <c r="E23" s="454" t="s">
        <v>126</v>
      </c>
      <c r="F23" s="439"/>
      <c r="G23" s="455" t="s">
        <v>127</v>
      </c>
      <c r="H23" s="454">
        <v>2.0</v>
      </c>
      <c r="I23" s="456">
        <v>0.013888888888888888</v>
      </c>
      <c r="J23" s="459"/>
      <c r="K23" s="458"/>
      <c r="L23" s="454">
        <v>2.0</v>
      </c>
      <c r="M23" s="453" t="s">
        <v>128</v>
      </c>
      <c r="N23" s="413"/>
      <c r="O23" s="413"/>
      <c r="P23" s="413"/>
      <c r="Q23" s="413"/>
      <c r="R23" s="413"/>
      <c r="S23" s="413"/>
      <c r="T23" s="413"/>
      <c r="U23" s="413"/>
      <c r="V23" s="413"/>
      <c r="W23" s="413"/>
      <c r="X23" s="413"/>
      <c r="Y23" s="413"/>
      <c r="Z23" s="413"/>
    </row>
    <row r="24" hidden="1">
      <c r="A24" s="452">
        <v>45826.0</v>
      </c>
      <c r="B24" s="461" t="s">
        <v>86</v>
      </c>
      <c r="C24" s="454" t="s">
        <v>87</v>
      </c>
      <c r="D24" s="454" t="s">
        <v>125</v>
      </c>
      <c r="E24" s="454" t="s">
        <v>126</v>
      </c>
      <c r="F24" s="439"/>
      <c r="G24" s="455" t="s">
        <v>134</v>
      </c>
      <c r="H24" s="454">
        <v>4.0</v>
      </c>
      <c r="I24" s="456">
        <v>0.05833333333333333</v>
      </c>
      <c r="J24" s="459"/>
      <c r="K24" s="458"/>
      <c r="L24" s="454"/>
      <c r="M24" s="453" t="s">
        <v>135</v>
      </c>
      <c r="N24" s="413"/>
      <c r="O24" s="413"/>
      <c r="P24" s="413"/>
      <c r="Q24" s="413"/>
      <c r="R24" s="413"/>
      <c r="S24" s="413"/>
      <c r="T24" s="413"/>
      <c r="U24" s="413"/>
      <c r="V24" s="413"/>
      <c r="W24" s="413"/>
      <c r="X24" s="413"/>
      <c r="Y24" s="413"/>
      <c r="Z24" s="413"/>
    </row>
    <row r="25" hidden="1">
      <c r="A25" s="452">
        <v>45828.0</v>
      </c>
      <c r="B25" s="453" t="s">
        <v>80</v>
      </c>
      <c r="C25" s="454" t="s">
        <v>78</v>
      </c>
      <c r="D25" s="454" t="s">
        <v>125</v>
      </c>
      <c r="E25" s="454" t="s">
        <v>126</v>
      </c>
      <c r="F25" s="439"/>
      <c r="G25" s="455" t="s">
        <v>134</v>
      </c>
      <c r="H25" s="454">
        <v>2.0</v>
      </c>
      <c r="I25" s="456">
        <v>0.04097222222222222</v>
      </c>
      <c r="J25" s="459"/>
      <c r="K25" s="458"/>
      <c r="L25" s="454"/>
      <c r="M25" s="460" t="s">
        <v>138</v>
      </c>
      <c r="N25" s="413"/>
      <c r="O25" s="413"/>
      <c r="P25" s="413"/>
      <c r="Q25" s="413"/>
      <c r="R25" s="413"/>
      <c r="S25" s="413"/>
      <c r="T25" s="413"/>
      <c r="U25" s="413"/>
      <c r="V25" s="413"/>
      <c r="W25" s="413"/>
      <c r="X25" s="413"/>
      <c r="Y25" s="413"/>
      <c r="Z25" s="413"/>
    </row>
    <row r="26" hidden="1">
      <c r="A26" s="452">
        <v>45831.0</v>
      </c>
      <c r="B26" s="453" t="s">
        <v>83</v>
      </c>
      <c r="C26" s="454" t="s">
        <v>70</v>
      </c>
      <c r="D26" s="454" t="s">
        <v>125</v>
      </c>
      <c r="E26" s="454" t="s">
        <v>126</v>
      </c>
      <c r="F26" s="439"/>
      <c r="G26" s="455" t="s">
        <v>127</v>
      </c>
      <c r="H26" s="454">
        <v>6.0</v>
      </c>
      <c r="I26" s="456">
        <v>0.18333333333333335</v>
      </c>
      <c r="J26" s="459"/>
      <c r="K26" s="458"/>
      <c r="L26" s="454">
        <v>6.0</v>
      </c>
      <c r="M26" s="453" t="s">
        <v>133</v>
      </c>
      <c r="N26" s="413"/>
      <c r="O26" s="413"/>
      <c r="P26" s="413"/>
      <c r="Q26" s="413"/>
      <c r="R26" s="413"/>
      <c r="S26" s="413"/>
      <c r="T26" s="413"/>
      <c r="U26" s="413"/>
      <c r="V26" s="413"/>
      <c r="W26" s="413"/>
      <c r="X26" s="413"/>
      <c r="Y26" s="413"/>
      <c r="Z26" s="413"/>
    </row>
    <row r="27" hidden="1">
      <c r="A27" s="452">
        <v>45831.0</v>
      </c>
      <c r="B27" s="453" t="s">
        <v>80</v>
      </c>
      <c r="C27" s="454" t="s">
        <v>78</v>
      </c>
      <c r="D27" s="454" t="s">
        <v>125</v>
      </c>
      <c r="E27" s="454" t="s">
        <v>126</v>
      </c>
      <c r="F27" s="439"/>
      <c r="G27" s="455" t="s">
        <v>134</v>
      </c>
      <c r="H27" s="454">
        <v>1.0</v>
      </c>
      <c r="I27" s="456">
        <v>0.025694444444444447</v>
      </c>
      <c r="J27" s="459"/>
      <c r="K27" s="458"/>
      <c r="L27" s="454"/>
      <c r="M27" s="460" t="s">
        <v>139</v>
      </c>
      <c r="N27" s="413"/>
      <c r="O27" s="413"/>
      <c r="P27" s="413"/>
      <c r="Q27" s="413"/>
      <c r="R27" s="413"/>
      <c r="S27" s="413"/>
      <c r="T27" s="413"/>
      <c r="U27" s="413"/>
      <c r="V27" s="413"/>
      <c r="W27" s="413"/>
      <c r="X27" s="413"/>
      <c r="Y27" s="413"/>
      <c r="Z27" s="413"/>
    </row>
    <row r="28" hidden="1">
      <c r="A28" s="452">
        <v>45831.0</v>
      </c>
      <c r="B28" s="461" t="s">
        <v>86</v>
      </c>
      <c r="C28" s="454" t="s">
        <v>87</v>
      </c>
      <c r="D28" s="454" t="s">
        <v>125</v>
      </c>
      <c r="E28" s="454" t="s">
        <v>126</v>
      </c>
      <c r="F28" s="439"/>
      <c r="G28" s="455" t="s">
        <v>134</v>
      </c>
      <c r="H28" s="454">
        <v>4.0</v>
      </c>
      <c r="I28" s="456">
        <v>0.03194444444444445</v>
      </c>
      <c r="J28" s="459"/>
      <c r="K28" s="458"/>
      <c r="L28" s="454"/>
      <c r="M28" s="460" t="s">
        <v>140</v>
      </c>
      <c r="N28" s="413"/>
      <c r="O28" s="413"/>
      <c r="P28" s="413"/>
      <c r="Q28" s="413"/>
      <c r="R28" s="413"/>
      <c r="S28" s="413"/>
      <c r="T28" s="413"/>
      <c r="U28" s="413"/>
      <c r="V28" s="413"/>
      <c r="W28" s="413"/>
      <c r="X28" s="413"/>
      <c r="Y28" s="413"/>
      <c r="Z28" s="413"/>
    </row>
    <row r="29" hidden="1">
      <c r="A29" s="452">
        <v>45832.0</v>
      </c>
      <c r="B29" s="461" t="s">
        <v>86</v>
      </c>
      <c r="C29" s="454" t="s">
        <v>87</v>
      </c>
      <c r="D29" s="454" t="s">
        <v>125</v>
      </c>
      <c r="E29" s="454" t="s">
        <v>126</v>
      </c>
      <c r="F29" s="439"/>
      <c r="G29" s="455" t="s">
        <v>134</v>
      </c>
      <c r="H29" s="454">
        <v>3.0</v>
      </c>
      <c r="I29" s="456">
        <v>0.02638888888888889</v>
      </c>
      <c r="J29" s="459"/>
      <c r="K29" s="458"/>
      <c r="L29" s="454"/>
      <c r="M29" s="460" t="s">
        <v>141</v>
      </c>
      <c r="N29" s="413"/>
      <c r="O29" s="413"/>
      <c r="P29" s="413"/>
      <c r="Q29" s="413"/>
      <c r="R29" s="413"/>
      <c r="S29" s="413"/>
      <c r="T29" s="413"/>
      <c r="U29" s="413"/>
      <c r="V29" s="413"/>
      <c r="W29" s="413"/>
      <c r="X29" s="413"/>
      <c r="Y29" s="413"/>
      <c r="Z29" s="413"/>
    </row>
    <row r="30" hidden="1">
      <c r="A30" s="452">
        <v>45834.0</v>
      </c>
      <c r="B30" s="453" t="s">
        <v>71</v>
      </c>
      <c r="C30" s="454" t="s">
        <v>70</v>
      </c>
      <c r="D30" s="454" t="s">
        <v>125</v>
      </c>
      <c r="E30" s="454" t="s">
        <v>126</v>
      </c>
      <c r="F30" s="439"/>
      <c r="G30" s="455" t="s">
        <v>127</v>
      </c>
      <c r="H30" s="454">
        <v>2.0</v>
      </c>
      <c r="I30" s="456">
        <v>0.013888888888888888</v>
      </c>
      <c r="J30" s="459"/>
      <c r="K30" s="458"/>
      <c r="L30" s="454">
        <v>2.0</v>
      </c>
      <c r="M30" s="453" t="s">
        <v>128</v>
      </c>
      <c r="N30" s="413"/>
      <c r="O30" s="413"/>
      <c r="P30" s="413"/>
      <c r="Q30" s="413"/>
      <c r="R30" s="413"/>
      <c r="S30" s="413"/>
      <c r="T30" s="413"/>
      <c r="U30" s="413"/>
      <c r="V30" s="413"/>
      <c r="W30" s="413"/>
      <c r="X30" s="413"/>
      <c r="Y30" s="413"/>
      <c r="Z30" s="413"/>
    </row>
    <row r="31" hidden="1">
      <c r="A31" s="452">
        <v>45834.0</v>
      </c>
      <c r="B31" s="461" t="s">
        <v>86</v>
      </c>
      <c r="C31" s="454" t="s">
        <v>87</v>
      </c>
      <c r="D31" s="454" t="s">
        <v>125</v>
      </c>
      <c r="E31" s="454" t="s">
        <v>126</v>
      </c>
      <c r="F31" s="439"/>
      <c r="G31" s="455" t="s">
        <v>134</v>
      </c>
      <c r="H31" s="454">
        <v>2.0</v>
      </c>
      <c r="I31" s="456">
        <v>0.029861111111111113</v>
      </c>
      <c r="J31" s="459"/>
      <c r="K31" s="458"/>
      <c r="L31" s="454"/>
      <c r="M31" s="460" t="s">
        <v>142</v>
      </c>
      <c r="N31" s="413"/>
      <c r="O31" s="413"/>
      <c r="P31" s="413"/>
      <c r="Q31" s="413"/>
      <c r="R31" s="413"/>
      <c r="S31" s="413"/>
      <c r="T31" s="413"/>
      <c r="U31" s="413"/>
      <c r="V31" s="413"/>
      <c r="W31" s="413"/>
      <c r="X31" s="413"/>
      <c r="Y31" s="413"/>
      <c r="Z31" s="413"/>
    </row>
    <row r="32" hidden="1">
      <c r="A32" s="452">
        <v>45834.0</v>
      </c>
      <c r="B32" s="453" t="s">
        <v>83</v>
      </c>
      <c r="C32" s="454" t="s">
        <v>70</v>
      </c>
      <c r="D32" s="454" t="s">
        <v>125</v>
      </c>
      <c r="E32" s="454" t="s">
        <v>126</v>
      </c>
      <c r="F32" s="439"/>
      <c r="G32" s="455" t="s">
        <v>127</v>
      </c>
      <c r="H32" s="454">
        <v>1.0</v>
      </c>
      <c r="I32" s="456">
        <v>0.01875</v>
      </c>
      <c r="J32" s="459"/>
      <c r="K32" s="458"/>
      <c r="L32" s="454">
        <v>1.0</v>
      </c>
      <c r="M32" s="453" t="s">
        <v>143</v>
      </c>
      <c r="N32" s="413"/>
      <c r="O32" s="413"/>
      <c r="P32" s="413"/>
      <c r="Q32" s="413"/>
      <c r="R32" s="413"/>
      <c r="S32" s="413"/>
      <c r="T32" s="413"/>
      <c r="U32" s="413"/>
      <c r="V32" s="413"/>
      <c r="W32" s="413"/>
      <c r="X32" s="413"/>
      <c r="Y32" s="413"/>
      <c r="Z32" s="413"/>
    </row>
    <row r="33" hidden="1">
      <c r="A33" s="452">
        <v>45834.0</v>
      </c>
      <c r="B33" s="453" t="s">
        <v>83</v>
      </c>
      <c r="C33" s="454" t="s">
        <v>70</v>
      </c>
      <c r="D33" s="454" t="s">
        <v>144</v>
      </c>
      <c r="E33" s="454" t="s">
        <v>126</v>
      </c>
      <c r="F33" s="439"/>
      <c r="G33" s="455" t="s">
        <v>134</v>
      </c>
      <c r="H33" s="454">
        <v>1.0</v>
      </c>
      <c r="I33" s="456">
        <v>0.061111111111111116</v>
      </c>
      <c r="J33" s="459"/>
      <c r="K33" s="458"/>
      <c r="L33" s="454">
        <v>1.0</v>
      </c>
      <c r="M33" s="460" t="s">
        <v>145</v>
      </c>
      <c r="N33" s="413"/>
      <c r="O33" s="413"/>
      <c r="P33" s="413"/>
      <c r="Q33" s="413"/>
      <c r="R33" s="413"/>
      <c r="S33" s="413"/>
      <c r="T33" s="413"/>
      <c r="U33" s="413"/>
      <c r="V33" s="413"/>
      <c r="W33" s="413"/>
      <c r="X33" s="413"/>
      <c r="Y33" s="413"/>
      <c r="Z33" s="413"/>
    </row>
    <row r="34" hidden="1">
      <c r="A34" s="462">
        <v>45835.0</v>
      </c>
      <c r="B34" s="460" t="s">
        <v>83</v>
      </c>
      <c r="C34" s="463" t="s">
        <v>70</v>
      </c>
      <c r="D34" s="463" t="s">
        <v>125</v>
      </c>
      <c r="E34" s="463" t="s">
        <v>126</v>
      </c>
      <c r="F34" s="439"/>
      <c r="G34" s="464" t="s">
        <v>134</v>
      </c>
      <c r="H34" s="463">
        <v>1.0</v>
      </c>
      <c r="I34" s="465">
        <v>0.08263888888888889</v>
      </c>
      <c r="J34" s="459"/>
      <c r="K34" s="458"/>
      <c r="L34" s="463">
        <v>1.0</v>
      </c>
      <c r="M34" s="460" t="s">
        <v>146</v>
      </c>
      <c r="N34" s="413"/>
      <c r="O34" s="413"/>
      <c r="P34" s="413"/>
      <c r="Q34" s="413"/>
      <c r="R34" s="413"/>
      <c r="S34" s="413"/>
      <c r="T34" s="413"/>
      <c r="U34" s="413"/>
      <c r="V34" s="413"/>
      <c r="W34" s="413"/>
      <c r="X34" s="413"/>
      <c r="Y34" s="413"/>
      <c r="Z34" s="413"/>
    </row>
    <row r="35" hidden="1">
      <c r="A35" s="462">
        <v>45835.0</v>
      </c>
      <c r="B35" s="460" t="s">
        <v>83</v>
      </c>
      <c r="C35" s="463" t="s">
        <v>70</v>
      </c>
      <c r="D35" s="463" t="s">
        <v>125</v>
      </c>
      <c r="E35" s="463" t="s">
        <v>126</v>
      </c>
      <c r="F35" s="439"/>
      <c r="G35" s="464" t="s">
        <v>127</v>
      </c>
      <c r="H35" s="463">
        <v>1.0</v>
      </c>
      <c r="I35" s="465">
        <v>0.017361111111111112</v>
      </c>
      <c r="J35" s="459"/>
      <c r="K35" s="458"/>
      <c r="L35" s="463">
        <v>1.0</v>
      </c>
      <c r="M35" s="460" t="s">
        <v>143</v>
      </c>
      <c r="N35" s="413"/>
      <c r="O35" s="413"/>
      <c r="P35" s="413"/>
      <c r="Q35" s="413"/>
      <c r="R35" s="413"/>
      <c r="S35" s="413"/>
      <c r="T35" s="413"/>
      <c r="U35" s="413"/>
      <c r="V35" s="413"/>
      <c r="W35" s="413"/>
      <c r="X35" s="413"/>
      <c r="Y35" s="413"/>
      <c r="Z35" s="413"/>
    </row>
    <row r="36" hidden="1">
      <c r="A36" s="462">
        <v>45838.0</v>
      </c>
      <c r="B36" s="466" t="s">
        <v>86</v>
      </c>
      <c r="C36" s="463" t="s">
        <v>87</v>
      </c>
      <c r="D36" s="463" t="s">
        <v>125</v>
      </c>
      <c r="E36" s="463" t="s">
        <v>126</v>
      </c>
      <c r="F36" s="439"/>
      <c r="G36" s="464" t="s">
        <v>134</v>
      </c>
      <c r="H36" s="463">
        <v>2.0</v>
      </c>
      <c r="I36" s="465">
        <v>0.02152777777777778</v>
      </c>
      <c r="J36" s="459"/>
      <c r="K36" s="458"/>
      <c r="L36" s="454"/>
      <c r="M36" s="460" t="s">
        <v>147</v>
      </c>
      <c r="N36" s="413"/>
      <c r="O36" s="413"/>
      <c r="P36" s="413"/>
      <c r="Q36" s="413"/>
      <c r="R36" s="413"/>
      <c r="S36" s="413"/>
      <c r="T36" s="413"/>
      <c r="U36" s="413"/>
      <c r="V36" s="413"/>
      <c r="W36" s="413"/>
      <c r="X36" s="413"/>
      <c r="Y36" s="413"/>
      <c r="Z36" s="413"/>
    </row>
    <row r="37" hidden="1">
      <c r="A37" s="462">
        <v>45839.0</v>
      </c>
      <c r="B37" s="466" t="s">
        <v>86</v>
      </c>
      <c r="C37" s="463" t="s">
        <v>87</v>
      </c>
      <c r="D37" s="463" t="s">
        <v>125</v>
      </c>
      <c r="E37" s="463" t="s">
        <v>126</v>
      </c>
      <c r="F37" s="439"/>
      <c r="G37" s="464" t="s">
        <v>134</v>
      </c>
      <c r="H37" s="463">
        <v>1.0</v>
      </c>
      <c r="I37" s="465">
        <v>0.02013888888888889</v>
      </c>
      <c r="J37" s="459"/>
      <c r="K37" s="458"/>
      <c r="L37" s="454"/>
      <c r="M37" s="460" t="s">
        <v>148</v>
      </c>
      <c r="N37" s="413"/>
      <c r="O37" s="413"/>
      <c r="P37" s="413"/>
      <c r="Q37" s="413"/>
      <c r="R37" s="413"/>
      <c r="S37" s="413"/>
      <c r="T37" s="413"/>
      <c r="U37" s="413"/>
      <c r="V37" s="413"/>
      <c r="W37" s="413"/>
      <c r="X37" s="413"/>
      <c r="Y37" s="413"/>
      <c r="Z37" s="413"/>
    </row>
    <row r="38" hidden="1">
      <c r="A38" s="462">
        <v>45840.0</v>
      </c>
      <c r="B38" s="460" t="s">
        <v>71</v>
      </c>
      <c r="C38" s="463" t="s">
        <v>70</v>
      </c>
      <c r="D38" s="463" t="s">
        <v>125</v>
      </c>
      <c r="E38" s="463" t="s">
        <v>126</v>
      </c>
      <c r="F38" s="439"/>
      <c r="G38" s="464" t="s">
        <v>134</v>
      </c>
      <c r="H38" s="463">
        <v>1.0</v>
      </c>
      <c r="I38" s="467">
        <v>0.006944444444444444</v>
      </c>
      <c r="J38" s="459"/>
      <c r="K38" s="458"/>
      <c r="L38" s="463">
        <v>1.0</v>
      </c>
      <c r="M38" s="460" t="s">
        <v>139</v>
      </c>
      <c r="N38" s="413"/>
      <c r="O38" s="413"/>
      <c r="P38" s="413"/>
      <c r="Q38" s="413"/>
      <c r="R38" s="413"/>
      <c r="S38" s="413"/>
      <c r="T38" s="413"/>
      <c r="U38" s="413"/>
      <c r="V38" s="413"/>
      <c r="W38" s="413"/>
      <c r="X38" s="413"/>
      <c r="Y38" s="413"/>
      <c r="Z38" s="413"/>
    </row>
    <row r="39" hidden="1">
      <c r="A39" s="462">
        <v>45846.0</v>
      </c>
      <c r="B39" s="460" t="s">
        <v>71</v>
      </c>
      <c r="C39" s="463" t="s">
        <v>70</v>
      </c>
      <c r="D39" s="463" t="s">
        <v>125</v>
      </c>
      <c r="E39" s="463" t="s">
        <v>126</v>
      </c>
      <c r="F39" s="439"/>
      <c r="G39" s="464" t="s">
        <v>127</v>
      </c>
      <c r="H39" s="463">
        <v>1.0</v>
      </c>
      <c r="I39" s="467">
        <v>0.008333333333333333</v>
      </c>
      <c r="J39" s="459"/>
      <c r="K39" s="458"/>
      <c r="L39" s="454"/>
      <c r="M39" s="453" t="s">
        <v>128</v>
      </c>
      <c r="N39" s="413"/>
      <c r="O39" s="413"/>
      <c r="P39" s="413"/>
      <c r="Q39" s="413"/>
      <c r="R39" s="413"/>
      <c r="S39" s="413"/>
      <c r="T39" s="413"/>
      <c r="U39" s="413"/>
      <c r="V39" s="413"/>
      <c r="W39" s="413"/>
      <c r="X39" s="413"/>
      <c r="Y39" s="413"/>
      <c r="Z39" s="413"/>
    </row>
    <row r="40" hidden="1">
      <c r="A40" s="462">
        <v>45846.0</v>
      </c>
      <c r="B40" s="460" t="s">
        <v>80</v>
      </c>
      <c r="C40" s="463" t="s">
        <v>78</v>
      </c>
      <c r="D40" s="463" t="s">
        <v>125</v>
      </c>
      <c r="E40" s="463" t="s">
        <v>126</v>
      </c>
      <c r="F40" s="439"/>
      <c r="G40" s="464" t="s">
        <v>129</v>
      </c>
      <c r="H40" s="463">
        <v>3.0</v>
      </c>
      <c r="I40" s="465">
        <v>0.06736111111111111</v>
      </c>
      <c r="J40" s="463">
        <v>1.0</v>
      </c>
      <c r="K40" s="468">
        <v>0.027083333333333334</v>
      </c>
      <c r="L40" s="454"/>
      <c r="M40" s="460" t="s">
        <v>149</v>
      </c>
      <c r="N40" s="413"/>
      <c r="O40" s="413"/>
      <c r="P40" s="413"/>
      <c r="Q40" s="413"/>
      <c r="R40" s="413"/>
      <c r="S40" s="413"/>
      <c r="T40" s="413"/>
      <c r="U40" s="413"/>
      <c r="V40" s="413"/>
      <c r="W40" s="413"/>
      <c r="X40" s="413"/>
      <c r="Y40" s="413"/>
      <c r="Z40" s="413"/>
    </row>
    <row r="41" hidden="1">
      <c r="A41" s="462">
        <v>45847.0</v>
      </c>
      <c r="B41" s="460" t="s">
        <v>83</v>
      </c>
      <c r="C41" s="463" t="s">
        <v>70</v>
      </c>
      <c r="D41" s="463" t="s">
        <v>125</v>
      </c>
      <c r="E41" s="463" t="s">
        <v>126</v>
      </c>
      <c r="F41" s="439"/>
      <c r="G41" s="464" t="s">
        <v>127</v>
      </c>
      <c r="H41" s="463">
        <v>1.0</v>
      </c>
      <c r="I41" s="465">
        <v>0.02291666666666667</v>
      </c>
      <c r="J41" s="459"/>
      <c r="K41" s="458"/>
      <c r="L41" s="463">
        <v>1.0</v>
      </c>
      <c r="M41" s="460" t="s">
        <v>133</v>
      </c>
      <c r="N41" s="413"/>
      <c r="O41" s="413"/>
      <c r="P41" s="413"/>
      <c r="Q41" s="413"/>
      <c r="R41" s="413"/>
      <c r="S41" s="413"/>
      <c r="T41" s="413"/>
      <c r="U41" s="413"/>
      <c r="V41" s="413"/>
      <c r="W41" s="413"/>
      <c r="X41" s="413"/>
      <c r="Y41" s="413"/>
      <c r="Z41" s="413"/>
    </row>
    <row r="42" hidden="1">
      <c r="A42" s="462">
        <v>45847.0</v>
      </c>
      <c r="B42" s="460" t="s">
        <v>83</v>
      </c>
      <c r="C42" s="463" t="s">
        <v>70</v>
      </c>
      <c r="D42" s="463" t="s">
        <v>144</v>
      </c>
      <c r="E42" s="463" t="s">
        <v>126</v>
      </c>
      <c r="F42" s="439"/>
      <c r="G42" s="464" t="s">
        <v>127</v>
      </c>
      <c r="H42" s="463">
        <v>1.0</v>
      </c>
      <c r="I42" s="465">
        <v>0.08333333333333333</v>
      </c>
      <c r="J42" s="459"/>
      <c r="K42" s="458"/>
      <c r="L42" s="463">
        <v>1.0</v>
      </c>
      <c r="M42" s="460" t="s">
        <v>133</v>
      </c>
      <c r="N42" s="413"/>
      <c r="O42" s="413"/>
      <c r="P42" s="413"/>
      <c r="Q42" s="413"/>
      <c r="R42" s="413"/>
      <c r="S42" s="413"/>
      <c r="T42" s="413"/>
      <c r="U42" s="413"/>
      <c r="V42" s="413"/>
      <c r="W42" s="413"/>
      <c r="X42" s="413"/>
      <c r="Y42" s="413"/>
      <c r="Z42" s="413"/>
    </row>
    <row r="43" hidden="1">
      <c r="A43" s="462">
        <v>45848.0</v>
      </c>
      <c r="B43" s="460" t="s">
        <v>71</v>
      </c>
      <c r="C43" s="463" t="s">
        <v>70</v>
      </c>
      <c r="D43" s="463" t="s">
        <v>125</v>
      </c>
      <c r="E43" s="463" t="s">
        <v>126</v>
      </c>
      <c r="F43" s="439"/>
      <c r="G43" s="464" t="s">
        <v>134</v>
      </c>
      <c r="H43" s="463">
        <v>1.0</v>
      </c>
      <c r="I43" s="467">
        <v>0.05694444444444444</v>
      </c>
      <c r="J43" s="459"/>
      <c r="K43" s="458"/>
      <c r="L43" s="463">
        <v>1.0</v>
      </c>
      <c r="M43" s="460" t="s">
        <v>139</v>
      </c>
      <c r="N43" s="413"/>
      <c r="O43" s="413"/>
      <c r="P43" s="413"/>
      <c r="Q43" s="413"/>
      <c r="R43" s="413"/>
      <c r="S43" s="413"/>
      <c r="T43" s="413"/>
      <c r="U43" s="413"/>
      <c r="V43" s="413"/>
      <c r="W43" s="413"/>
      <c r="X43" s="413"/>
      <c r="Y43" s="413"/>
      <c r="Z43" s="413"/>
    </row>
    <row r="44" hidden="1">
      <c r="A44" s="462">
        <v>45848.0</v>
      </c>
      <c r="B44" s="460" t="s">
        <v>84</v>
      </c>
      <c r="C44" s="463" t="s">
        <v>70</v>
      </c>
      <c r="D44" s="463" t="s">
        <v>125</v>
      </c>
      <c r="E44" s="463" t="s">
        <v>126</v>
      </c>
      <c r="F44" s="439"/>
      <c r="G44" s="464" t="s">
        <v>134</v>
      </c>
      <c r="H44" s="463">
        <v>1.0</v>
      </c>
      <c r="I44" s="465">
        <v>0.05694444444444444</v>
      </c>
      <c r="J44" s="439"/>
      <c r="K44" s="469"/>
      <c r="L44" s="454"/>
      <c r="M44" s="453" t="s">
        <v>150</v>
      </c>
      <c r="N44" s="413"/>
      <c r="O44" s="413"/>
      <c r="P44" s="413"/>
      <c r="Q44" s="413"/>
      <c r="R44" s="413"/>
      <c r="S44" s="413"/>
      <c r="T44" s="413"/>
      <c r="U44" s="413"/>
      <c r="V44" s="413"/>
      <c r="W44" s="413"/>
      <c r="X44" s="413"/>
      <c r="Y44" s="413"/>
      <c r="Z44" s="413"/>
    </row>
    <row r="45" hidden="1">
      <c r="A45" s="462">
        <v>45849.0</v>
      </c>
      <c r="B45" s="460" t="s">
        <v>80</v>
      </c>
      <c r="C45" s="463" t="s">
        <v>78</v>
      </c>
      <c r="D45" s="463" t="s">
        <v>125</v>
      </c>
      <c r="E45" s="463" t="s">
        <v>126</v>
      </c>
      <c r="F45" s="439"/>
      <c r="G45" s="464" t="s">
        <v>129</v>
      </c>
      <c r="H45" s="463">
        <v>3.0</v>
      </c>
      <c r="I45" s="465">
        <v>0.07083333333333333</v>
      </c>
      <c r="J45" s="463">
        <v>1.0</v>
      </c>
      <c r="K45" s="470">
        <v>0.04305555555555556</v>
      </c>
      <c r="L45" s="454"/>
      <c r="M45" s="453" t="s">
        <v>151</v>
      </c>
      <c r="N45" s="413"/>
      <c r="O45" s="413"/>
      <c r="P45" s="413"/>
      <c r="Q45" s="413"/>
      <c r="R45" s="413"/>
      <c r="S45" s="413"/>
      <c r="T45" s="413"/>
      <c r="U45" s="413"/>
      <c r="V45" s="413"/>
      <c r="W45" s="413"/>
      <c r="X45" s="413"/>
      <c r="Y45" s="413"/>
      <c r="Z45" s="413"/>
    </row>
    <row r="46" hidden="1">
      <c r="A46" s="462">
        <v>45850.0</v>
      </c>
      <c r="B46" s="460" t="s">
        <v>80</v>
      </c>
      <c r="C46" s="463" t="s">
        <v>78</v>
      </c>
      <c r="D46" s="463" t="s">
        <v>125</v>
      </c>
      <c r="E46" s="463" t="s">
        <v>126</v>
      </c>
      <c r="F46" s="439"/>
      <c r="G46" s="464" t="s">
        <v>129</v>
      </c>
      <c r="H46" s="463">
        <v>3.0</v>
      </c>
      <c r="I46" s="465">
        <v>0.06388888888888888</v>
      </c>
      <c r="J46" s="463">
        <v>1.0</v>
      </c>
      <c r="K46" s="470">
        <v>0.03958333333333333</v>
      </c>
      <c r="L46" s="454"/>
      <c r="M46" s="453" t="s">
        <v>151</v>
      </c>
      <c r="N46" s="413"/>
      <c r="O46" s="413"/>
      <c r="P46" s="413"/>
      <c r="Q46" s="413"/>
      <c r="R46" s="413"/>
      <c r="S46" s="413"/>
      <c r="T46" s="413"/>
      <c r="U46" s="413"/>
      <c r="V46" s="413"/>
      <c r="W46" s="413"/>
      <c r="X46" s="413"/>
      <c r="Y46" s="413"/>
      <c r="Z46" s="413"/>
    </row>
    <row r="47" hidden="1">
      <c r="A47" s="462">
        <v>45853.0</v>
      </c>
      <c r="B47" s="460" t="s">
        <v>71</v>
      </c>
      <c r="C47" s="463" t="s">
        <v>70</v>
      </c>
      <c r="D47" s="463" t="s">
        <v>125</v>
      </c>
      <c r="E47" s="463" t="s">
        <v>126</v>
      </c>
      <c r="F47" s="439"/>
      <c r="G47" s="464" t="s">
        <v>134</v>
      </c>
      <c r="H47" s="463">
        <v>1.0</v>
      </c>
      <c r="I47" s="467">
        <v>0.01875</v>
      </c>
      <c r="J47" s="463">
        <v>1.0</v>
      </c>
      <c r="K47" s="470">
        <v>0.01875</v>
      </c>
      <c r="L47" s="454"/>
      <c r="M47" s="460" t="s">
        <v>139</v>
      </c>
      <c r="N47" s="413"/>
      <c r="O47" s="413"/>
      <c r="P47" s="413"/>
      <c r="Q47" s="413"/>
      <c r="R47" s="413"/>
      <c r="S47" s="413"/>
      <c r="T47" s="413"/>
      <c r="U47" s="413"/>
      <c r="V47" s="413"/>
      <c r="W47" s="413"/>
      <c r="X47" s="413"/>
      <c r="Y47" s="413"/>
      <c r="Z47" s="413"/>
    </row>
    <row r="48" hidden="1">
      <c r="A48" s="462">
        <v>45854.0</v>
      </c>
      <c r="B48" s="460" t="s">
        <v>71</v>
      </c>
      <c r="C48" s="463" t="s">
        <v>70</v>
      </c>
      <c r="D48" s="463" t="s">
        <v>125</v>
      </c>
      <c r="E48" s="463" t="s">
        <v>126</v>
      </c>
      <c r="F48" s="439"/>
      <c r="G48" s="464" t="s">
        <v>134</v>
      </c>
      <c r="H48" s="463">
        <v>1.0</v>
      </c>
      <c r="I48" s="467">
        <v>0.03125</v>
      </c>
      <c r="J48" s="463">
        <v>1.0</v>
      </c>
      <c r="K48" s="470">
        <v>0.03125</v>
      </c>
      <c r="L48" s="454"/>
      <c r="M48" s="460" t="s">
        <v>139</v>
      </c>
      <c r="N48" s="413"/>
      <c r="O48" s="413"/>
      <c r="P48" s="413"/>
      <c r="Q48" s="413"/>
      <c r="R48" s="413"/>
      <c r="S48" s="413"/>
      <c r="T48" s="413"/>
      <c r="U48" s="413"/>
      <c r="V48" s="413"/>
      <c r="W48" s="413"/>
      <c r="X48" s="413"/>
      <c r="Y48" s="413"/>
      <c r="Z48" s="413"/>
    </row>
    <row r="49" hidden="1">
      <c r="A49" s="462">
        <v>45855.0</v>
      </c>
      <c r="B49" s="460" t="s">
        <v>71</v>
      </c>
      <c r="C49" s="463" t="s">
        <v>70</v>
      </c>
      <c r="D49" s="463" t="s">
        <v>125</v>
      </c>
      <c r="E49" s="463" t="s">
        <v>126</v>
      </c>
      <c r="F49" s="439"/>
      <c r="G49" s="464" t="s">
        <v>134</v>
      </c>
      <c r="H49" s="463">
        <v>1.0</v>
      </c>
      <c r="I49" s="465">
        <v>0.06597222222222222</v>
      </c>
      <c r="J49" s="463">
        <v>1.0</v>
      </c>
      <c r="K49" s="470">
        <v>0.06597222222222222</v>
      </c>
      <c r="L49" s="454"/>
      <c r="M49" s="460" t="s">
        <v>139</v>
      </c>
      <c r="N49" s="413"/>
      <c r="O49" s="413"/>
      <c r="P49" s="413"/>
      <c r="Q49" s="413"/>
      <c r="R49" s="413"/>
      <c r="S49" s="413"/>
      <c r="T49" s="413"/>
      <c r="U49" s="413"/>
      <c r="V49" s="413"/>
      <c r="W49" s="413"/>
      <c r="X49" s="413"/>
      <c r="Y49" s="413"/>
      <c r="Z49" s="413"/>
    </row>
    <row r="50" hidden="1">
      <c r="A50" s="462">
        <v>45855.0</v>
      </c>
      <c r="B50" s="460" t="s">
        <v>71</v>
      </c>
      <c r="C50" s="463" t="s">
        <v>70</v>
      </c>
      <c r="D50" s="463" t="s">
        <v>125</v>
      </c>
      <c r="E50" s="463" t="s">
        <v>126</v>
      </c>
      <c r="F50" s="439"/>
      <c r="G50" s="464" t="s">
        <v>134</v>
      </c>
      <c r="H50" s="463">
        <v>1.0</v>
      </c>
      <c r="I50" s="465">
        <v>0.006944444444444444</v>
      </c>
      <c r="J50" s="459"/>
      <c r="K50" s="458"/>
      <c r="L50" s="454"/>
      <c r="M50" s="460" t="s">
        <v>139</v>
      </c>
      <c r="N50" s="413"/>
      <c r="O50" s="413"/>
      <c r="P50" s="413"/>
      <c r="Q50" s="413"/>
      <c r="R50" s="413"/>
      <c r="S50" s="413"/>
      <c r="T50" s="413"/>
      <c r="U50" s="413"/>
      <c r="V50" s="413"/>
      <c r="W50" s="413"/>
      <c r="X50" s="413"/>
      <c r="Y50" s="413"/>
      <c r="Z50" s="413"/>
    </row>
    <row r="51" hidden="1">
      <c r="A51" s="462">
        <v>45856.0</v>
      </c>
      <c r="B51" s="460" t="s">
        <v>71</v>
      </c>
      <c r="C51" s="463" t="s">
        <v>70</v>
      </c>
      <c r="D51" s="463" t="s">
        <v>131</v>
      </c>
      <c r="E51" s="463" t="s">
        <v>126</v>
      </c>
      <c r="F51" s="439"/>
      <c r="G51" s="464" t="s">
        <v>134</v>
      </c>
      <c r="H51" s="463">
        <v>1.0</v>
      </c>
      <c r="I51" s="467">
        <v>0.004861111111111111</v>
      </c>
      <c r="J51" s="459"/>
      <c r="K51" s="458"/>
      <c r="L51" s="454"/>
      <c r="M51" s="460" t="s">
        <v>16</v>
      </c>
      <c r="N51" s="413"/>
      <c r="O51" s="413"/>
      <c r="P51" s="413"/>
      <c r="Q51" s="413"/>
      <c r="R51" s="413"/>
      <c r="S51" s="413"/>
      <c r="T51" s="413"/>
      <c r="U51" s="413"/>
      <c r="V51" s="413"/>
      <c r="W51" s="413"/>
      <c r="X51" s="413"/>
      <c r="Y51" s="413"/>
      <c r="Z51" s="413"/>
    </row>
    <row r="52" hidden="1">
      <c r="A52" s="462">
        <v>45856.0</v>
      </c>
      <c r="B52" s="460" t="s">
        <v>71</v>
      </c>
      <c r="C52" s="463" t="s">
        <v>70</v>
      </c>
      <c r="D52" s="463" t="s">
        <v>125</v>
      </c>
      <c r="E52" s="463" t="s">
        <v>126</v>
      </c>
      <c r="F52" s="439"/>
      <c r="G52" s="464" t="s">
        <v>134</v>
      </c>
      <c r="H52" s="463">
        <v>1.0</v>
      </c>
      <c r="I52" s="467">
        <v>0.05694444444444444</v>
      </c>
      <c r="J52" s="459"/>
      <c r="K52" s="458"/>
      <c r="L52" s="454"/>
      <c r="M52" s="460" t="s">
        <v>139</v>
      </c>
      <c r="N52" s="413"/>
      <c r="O52" s="413"/>
      <c r="P52" s="413"/>
      <c r="Q52" s="413"/>
      <c r="R52" s="413"/>
      <c r="S52" s="413"/>
      <c r="T52" s="413"/>
      <c r="U52" s="413"/>
      <c r="V52" s="413"/>
      <c r="W52" s="413"/>
      <c r="X52" s="413"/>
      <c r="Y52" s="413"/>
      <c r="Z52" s="413"/>
    </row>
    <row r="53" hidden="1">
      <c r="A53" s="462">
        <v>45857.0</v>
      </c>
      <c r="B53" s="460" t="s">
        <v>77</v>
      </c>
      <c r="C53" s="463" t="s">
        <v>78</v>
      </c>
      <c r="D53" s="463" t="s">
        <v>132</v>
      </c>
      <c r="E53" s="463" t="s">
        <v>126</v>
      </c>
      <c r="F53" s="439"/>
      <c r="G53" s="464" t="s">
        <v>129</v>
      </c>
      <c r="H53" s="463">
        <v>2.0</v>
      </c>
      <c r="I53" s="465">
        <v>0.06527777777777778</v>
      </c>
      <c r="J53" s="463">
        <v>2.0</v>
      </c>
      <c r="K53" s="470">
        <v>0.06527777777777778</v>
      </c>
      <c r="L53" s="454"/>
      <c r="M53" s="460" t="s">
        <v>152</v>
      </c>
      <c r="N53" s="413"/>
      <c r="O53" s="413"/>
      <c r="P53" s="413"/>
      <c r="Q53" s="413"/>
      <c r="R53" s="413"/>
      <c r="S53" s="413"/>
      <c r="T53" s="413"/>
      <c r="U53" s="413"/>
      <c r="V53" s="413"/>
      <c r="W53" s="413"/>
      <c r="X53" s="413"/>
      <c r="Y53" s="413"/>
      <c r="Z53" s="413"/>
    </row>
    <row r="54" hidden="1">
      <c r="A54" s="462">
        <v>45859.0</v>
      </c>
      <c r="B54" s="460" t="s">
        <v>71</v>
      </c>
      <c r="C54" s="463" t="s">
        <v>70</v>
      </c>
      <c r="D54" s="463" t="s">
        <v>125</v>
      </c>
      <c r="E54" s="463" t="s">
        <v>126</v>
      </c>
      <c r="F54" s="439"/>
      <c r="G54" s="464" t="s">
        <v>127</v>
      </c>
      <c r="H54" s="463">
        <v>2.0</v>
      </c>
      <c r="I54" s="467">
        <v>0.013888888888888888</v>
      </c>
      <c r="J54" s="459"/>
      <c r="K54" s="458"/>
      <c r="L54" s="463">
        <v>2.0</v>
      </c>
      <c r="M54" s="460" t="s">
        <v>153</v>
      </c>
      <c r="N54" s="413"/>
      <c r="O54" s="413"/>
      <c r="P54" s="413"/>
      <c r="Q54" s="413"/>
      <c r="R54" s="413"/>
      <c r="S54" s="413"/>
      <c r="T54" s="413"/>
      <c r="U54" s="413"/>
      <c r="V54" s="413"/>
      <c r="W54" s="413"/>
      <c r="X54" s="413"/>
      <c r="Y54" s="413"/>
      <c r="Z54" s="413"/>
    </row>
    <row r="55" hidden="1">
      <c r="A55" s="462">
        <v>45861.0</v>
      </c>
      <c r="B55" s="460" t="s">
        <v>71</v>
      </c>
      <c r="C55" s="463" t="s">
        <v>70</v>
      </c>
      <c r="D55" s="463" t="s">
        <v>125</v>
      </c>
      <c r="E55" s="463" t="s">
        <v>126</v>
      </c>
      <c r="F55" s="439"/>
      <c r="G55" s="464" t="s">
        <v>127</v>
      </c>
      <c r="H55" s="463">
        <v>1.0</v>
      </c>
      <c r="I55" s="467">
        <v>0.005555555555555556</v>
      </c>
      <c r="J55" s="459"/>
      <c r="K55" s="458"/>
      <c r="L55" s="463">
        <v>1.0</v>
      </c>
      <c r="M55" s="460" t="s">
        <v>153</v>
      </c>
      <c r="N55" s="413"/>
      <c r="O55" s="413"/>
      <c r="P55" s="413"/>
      <c r="Q55" s="413"/>
      <c r="R55" s="413"/>
      <c r="S55" s="413"/>
      <c r="T55" s="413"/>
      <c r="U55" s="413"/>
      <c r="V55" s="413"/>
      <c r="W55" s="413"/>
      <c r="X55" s="413"/>
      <c r="Y55" s="413"/>
      <c r="Z55" s="413"/>
    </row>
    <row r="56" hidden="1">
      <c r="A56" s="462">
        <v>45861.0</v>
      </c>
      <c r="B56" s="460" t="s">
        <v>71</v>
      </c>
      <c r="C56" s="463" t="s">
        <v>70</v>
      </c>
      <c r="D56" s="463" t="s">
        <v>125</v>
      </c>
      <c r="E56" s="463" t="s">
        <v>126</v>
      </c>
      <c r="F56" s="439"/>
      <c r="G56" s="464" t="s">
        <v>129</v>
      </c>
      <c r="H56" s="463">
        <v>1.0</v>
      </c>
      <c r="I56" s="467">
        <v>0.1388888888888889</v>
      </c>
      <c r="J56" s="463">
        <v>1.0</v>
      </c>
      <c r="K56" s="470">
        <v>0.1388888888888889</v>
      </c>
      <c r="L56" s="463">
        <v>1.0</v>
      </c>
      <c r="M56" s="460" t="s">
        <v>154</v>
      </c>
      <c r="N56" s="413"/>
      <c r="O56" s="413"/>
      <c r="P56" s="413"/>
      <c r="Q56" s="413"/>
      <c r="R56" s="413"/>
      <c r="S56" s="413"/>
      <c r="T56" s="413"/>
      <c r="U56" s="413"/>
      <c r="V56" s="413"/>
      <c r="W56" s="413"/>
      <c r="X56" s="413"/>
      <c r="Y56" s="413"/>
      <c r="Z56" s="413"/>
    </row>
    <row r="57" hidden="1">
      <c r="A57" s="462">
        <v>45862.0</v>
      </c>
      <c r="B57" s="460" t="s">
        <v>71</v>
      </c>
      <c r="C57" s="463" t="s">
        <v>70</v>
      </c>
      <c r="D57" s="463" t="s">
        <v>125</v>
      </c>
      <c r="E57" s="463" t="s">
        <v>126</v>
      </c>
      <c r="F57" s="439"/>
      <c r="G57" s="464" t="s">
        <v>127</v>
      </c>
      <c r="H57" s="463">
        <v>1.0</v>
      </c>
      <c r="I57" s="467">
        <v>0.005555555555555556</v>
      </c>
      <c r="J57" s="459"/>
      <c r="K57" s="458"/>
      <c r="L57" s="463">
        <v>1.0</v>
      </c>
      <c r="M57" s="460" t="s">
        <v>139</v>
      </c>
      <c r="N57" s="413"/>
      <c r="O57" s="413"/>
      <c r="P57" s="413"/>
      <c r="Q57" s="413"/>
      <c r="R57" s="413"/>
      <c r="S57" s="413"/>
      <c r="T57" s="413"/>
      <c r="U57" s="413"/>
      <c r="V57" s="413"/>
      <c r="W57" s="413"/>
      <c r="X57" s="413"/>
      <c r="Y57" s="413"/>
      <c r="Z57" s="413"/>
    </row>
    <row r="58" hidden="1">
      <c r="A58" s="462">
        <v>45863.0</v>
      </c>
      <c r="B58" s="460" t="s">
        <v>71</v>
      </c>
      <c r="C58" s="463" t="s">
        <v>70</v>
      </c>
      <c r="D58" s="463" t="s">
        <v>125</v>
      </c>
      <c r="E58" s="463" t="s">
        <v>126</v>
      </c>
      <c r="F58" s="439"/>
      <c r="G58" s="464" t="s">
        <v>129</v>
      </c>
      <c r="H58" s="463">
        <v>2.0</v>
      </c>
      <c r="I58" s="467">
        <v>0.2625</v>
      </c>
      <c r="J58" s="463">
        <v>2.0</v>
      </c>
      <c r="K58" s="470">
        <v>0.2625</v>
      </c>
      <c r="L58" s="463">
        <v>2.0</v>
      </c>
      <c r="M58" s="460" t="s">
        <v>155</v>
      </c>
      <c r="N58" s="413"/>
      <c r="O58" s="413"/>
      <c r="P58" s="413"/>
      <c r="Q58" s="413"/>
      <c r="R58" s="413"/>
      <c r="S58" s="413"/>
      <c r="T58" s="413"/>
      <c r="U58" s="413"/>
      <c r="V58" s="413"/>
      <c r="W58" s="413"/>
      <c r="X58" s="413"/>
      <c r="Y58" s="413"/>
      <c r="Z58" s="413"/>
    </row>
    <row r="59" hidden="1">
      <c r="A59" s="462">
        <v>45863.0</v>
      </c>
      <c r="B59" s="460" t="s">
        <v>71</v>
      </c>
      <c r="C59" s="463" t="s">
        <v>70</v>
      </c>
      <c r="D59" s="463" t="s">
        <v>144</v>
      </c>
      <c r="E59" s="463" t="s">
        <v>126</v>
      </c>
      <c r="F59" s="439"/>
      <c r="G59" s="464" t="s">
        <v>127</v>
      </c>
      <c r="H59" s="463">
        <v>1.0</v>
      </c>
      <c r="I59" s="465">
        <v>0.041666666666666664</v>
      </c>
      <c r="J59" s="463">
        <v>1.0</v>
      </c>
      <c r="K59" s="470">
        <v>0.041666666666666664</v>
      </c>
      <c r="L59" s="463">
        <v>1.0</v>
      </c>
      <c r="M59" s="460" t="s">
        <v>156</v>
      </c>
      <c r="N59" s="413"/>
      <c r="O59" s="413"/>
      <c r="P59" s="413"/>
      <c r="Q59" s="413"/>
      <c r="R59" s="413"/>
      <c r="S59" s="413"/>
      <c r="T59" s="413"/>
      <c r="U59" s="413"/>
      <c r="V59" s="413"/>
      <c r="W59" s="413"/>
      <c r="X59" s="413"/>
      <c r="Y59" s="413"/>
      <c r="Z59" s="413"/>
    </row>
    <row r="60" hidden="1">
      <c r="A60" s="462">
        <v>45864.0</v>
      </c>
      <c r="B60" s="460" t="s">
        <v>71</v>
      </c>
      <c r="C60" s="463" t="s">
        <v>70</v>
      </c>
      <c r="D60" s="463" t="s">
        <v>125</v>
      </c>
      <c r="E60" s="463" t="s">
        <v>126</v>
      </c>
      <c r="F60" s="439"/>
      <c r="G60" s="464" t="s">
        <v>127</v>
      </c>
      <c r="H60" s="463">
        <v>2.0</v>
      </c>
      <c r="I60" s="467">
        <v>0.012499999999999999</v>
      </c>
      <c r="J60" s="459"/>
      <c r="K60" s="458"/>
      <c r="L60" s="463">
        <v>2.0</v>
      </c>
      <c r="M60" s="460" t="s">
        <v>139</v>
      </c>
      <c r="N60" s="413"/>
      <c r="O60" s="413"/>
      <c r="P60" s="413"/>
      <c r="Q60" s="413"/>
      <c r="R60" s="413"/>
      <c r="S60" s="413"/>
      <c r="T60" s="413"/>
      <c r="U60" s="413"/>
      <c r="V60" s="413"/>
      <c r="W60" s="413"/>
      <c r="X60" s="413"/>
      <c r="Y60" s="413"/>
      <c r="Z60" s="413"/>
    </row>
    <row r="61" hidden="1">
      <c r="A61" s="462">
        <v>45865.0</v>
      </c>
      <c r="B61" s="460" t="s">
        <v>71</v>
      </c>
      <c r="C61" s="463" t="s">
        <v>70</v>
      </c>
      <c r="D61" s="463" t="s">
        <v>125</v>
      </c>
      <c r="E61" s="463" t="s">
        <v>126</v>
      </c>
      <c r="F61" s="439"/>
      <c r="G61" s="464" t="s">
        <v>127</v>
      </c>
      <c r="H61" s="463">
        <v>1.0</v>
      </c>
      <c r="I61" s="467">
        <v>0.0062499999999999995</v>
      </c>
      <c r="J61" s="459"/>
      <c r="K61" s="458"/>
      <c r="L61" s="463">
        <v>1.0</v>
      </c>
      <c r="M61" s="460" t="s">
        <v>139</v>
      </c>
      <c r="N61" s="413"/>
      <c r="O61" s="413"/>
      <c r="P61" s="413"/>
      <c r="Q61" s="413"/>
      <c r="R61" s="413"/>
      <c r="S61" s="413"/>
      <c r="T61" s="413"/>
      <c r="U61" s="413"/>
      <c r="V61" s="413"/>
      <c r="W61" s="413"/>
      <c r="X61" s="413"/>
      <c r="Y61" s="413"/>
      <c r="Z61" s="413"/>
    </row>
    <row r="62" hidden="1">
      <c r="A62" s="462">
        <v>45865.0</v>
      </c>
      <c r="B62" s="460" t="s">
        <v>71</v>
      </c>
      <c r="C62" s="463" t="s">
        <v>70</v>
      </c>
      <c r="D62" s="463" t="s">
        <v>144</v>
      </c>
      <c r="E62" s="463" t="s">
        <v>126</v>
      </c>
      <c r="F62" s="439"/>
      <c r="G62" s="464" t="s">
        <v>127</v>
      </c>
      <c r="H62" s="463">
        <v>1.0</v>
      </c>
      <c r="I62" s="467">
        <v>0.0763888888888889</v>
      </c>
      <c r="J62" s="463">
        <v>1.0</v>
      </c>
      <c r="K62" s="470">
        <v>0.0763888888888889</v>
      </c>
      <c r="L62" s="463">
        <v>1.0</v>
      </c>
      <c r="M62" s="460" t="s">
        <v>156</v>
      </c>
      <c r="N62" s="413"/>
      <c r="O62" s="413"/>
      <c r="P62" s="413"/>
      <c r="Q62" s="413"/>
      <c r="R62" s="413"/>
      <c r="S62" s="413"/>
      <c r="T62" s="413"/>
      <c r="U62" s="413"/>
      <c r="V62" s="413"/>
      <c r="W62" s="413"/>
      <c r="X62" s="413"/>
      <c r="Y62" s="413"/>
      <c r="Z62" s="413"/>
    </row>
    <row r="63" hidden="1">
      <c r="A63" s="462">
        <v>45866.0</v>
      </c>
      <c r="B63" s="460" t="s">
        <v>71</v>
      </c>
      <c r="C63" s="463" t="s">
        <v>70</v>
      </c>
      <c r="D63" s="463" t="s">
        <v>125</v>
      </c>
      <c r="E63" s="463" t="s">
        <v>126</v>
      </c>
      <c r="F63" s="439"/>
      <c r="G63" s="464" t="s">
        <v>127</v>
      </c>
      <c r="H63" s="463">
        <v>1.0</v>
      </c>
      <c r="I63" s="467">
        <v>0.006944444444444444</v>
      </c>
      <c r="J63" s="459"/>
      <c r="K63" s="458"/>
      <c r="L63" s="463">
        <v>1.0</v>
      </c>
      <c r="M63" s="460" t="s">
        <v>139</v>
      </c>
      <c r="N63" s="413"/>
      <c r="O63" s="413"/>
      <c r="P63" s="413"/>
      <c r="Q63" s="413"/>
      <c r="R63" s="413"/>
      <c r="S63" s="413"/>
      <c r="T63" s="413"/>
      <c r="U63" s="413"/>
      <c r="V63" s="413"/>
      <c r="W63" s="413"/>
      <c r="X63" s="413"/>
      <c r="Y63" s="413"/>
      <c r="Z63" s="413"/>
    </row>
    <row r="64" hidden="1">
      <c r="A64" s="462">
        <v>45867.0</v>
      </c>
      <c r="B64" s="460" t="s">
        <v>71</v>
      </c>
      <c r="C64" s="463" t="s">
        <v>70</v>
      </c>
      <c r="D64" s="463" t="s">
        <v>125</v>
      </c>
      <c r="E64" s="463" t="s">
        <v>126</v>
      </c>
      <c r="F64" s="439"/>
      <c r="G64" s="464" t="s">
        <v>129</v>
      </c>
      <c r="H64" s="463">
        <v>1.0</v>
      </c>
      <c r="I64" s="467">
        <v>0.1673611111111111</v>
      </c>
      <c r="J64" s="463">
        <v>1.0</v>
      </c>
      <c r="K64" s="470">
        <v>0.1673611111111111</v>
      </c>
      <c r="L64" s="463">
        <v>1.0</v>
      </c>
      <c r="M64" s="460" t="s">
        <v>157</v>
      </c>
      <c r="N64" s="413"/>
      <c r="O64" s="413"/>
      <c r="P64" s="413"/>
      <c r="Q64" s="413"/>
      <c r="R64" s="413"/>
      <c r="S64" s="413"/>
      <c r="T64" s="413"/>
      <c r="U64" s="413"/>
      <c r="V64" s="413"/>
      <c r="W64" s="413"/>
      <c r="X64" s="413"/>
      <c r="Y64" s="413"/>
      <c r="Z64" s="413"/>
    </row>
    <row r="65" hidden="1">
      <c r="A65" s="462">
        <v>45868.0</v>
      </c>
      <c r="B65" s="460" t="s">
        <v>71</v>
      </c>
      <c r="C65" s="463" t="s">
        <v>70</v>
      </c>
      <c r="D65" s="463" t="s">
        <v>125</v>
      </c>
      <c r="E65" s="463" t="s">
        <v>126</v>
      </c>
      <c r="F65" s="439"/>
      <c r="G65" s="464" t="s">
        <v>127</v>
      </c>
      <c r="H65" s="463">
        <v>1.0</v>
      </c>
      <c r="I65" s="465">
        <v>0.0062499999999999995</v>
      </c>
      <c r="J65" s="459"/>
      <c r="K65" s="458"/>
      <c r="L65" s="463">
        <v>1.0</v>
      </c>
      <c r="M65" s="460" t="s">
        <v>139</v>
      </c>
      <c r="N65" s="413"/>
      <c r="O65" s="413"/>
      <c r="P65" s="413"/>
      <c r="Q65" s="413"/>
      <c r="R65" s="413"/>
      <c r="S65" s="413"/>
      <c r="T65" s="413"/>
      <c r="U65" s="413"/>
      <c r="V65" s="413"/>
      <c r="W65" s="413"/>
      <c r="X65" s="413"/>
      <c r="Y65" s="413"/>
      <c r="Z65" s="413"/>
    </row>
    <row r="66" hidden="1">
      <c r="A66" s="462">
        <v>45868.0</v>
      </c>
      <c r="B66" s="460" t="s">
        <v>77</v>
      </c>
      <c r="C66" s="463" t="s">
        <v>55</v>
      </c>
      <c r="D66" s="463" t="s">
        <v>131</v>
      </c>
      <c r="E66" s="463" t="s">
        <v>126</v>
      </c>
      <c r="F66" s="439"/>
      <c r="G66" s="464" t="s">
        <v>158</v>
      </c>
      <c r="H66" s="463">
        <v>3.0</v>
      </c>
      <c r="I66" s="465">
        <v>0.06944444444444443</v>
      </c>
      <c r="J66" s="463">
        <v>3.0</v>
      </c>
      <c r="K66" s="470">
        <v>0.06944444444444443</v>
      </c>
      <c r="L66" s="454"/>
      <c r="M66" s="460" t="s">
        <v>159</v>
      </c>
      <c r="N66" s="413"/>
      <c r="O66" s="413"/>
      <c r="P66" s="413"/>
      <c r="Q66" s="413"/>
      <c r="R66" s="413"/>
      <c r="S66" s="413"/>
      <c r="T66" s="413"/>
      <c r="U66" s="413"/>
      <c r="V66" s="413"/>
      <c r="W66" s="413"/>
      <c r="X66" s="413"/>
      <c r="Y66" s="413"/>
      <c r="Z66" s="413"/>
    </row>
    <row r="67" hidden="1">
      <c r="A67" s="462">
        <v>45869.0</v>
      </c>
      <c r="B67" s="460" t="s">
        <v>77</v>
      </c>
      <c r="C67" s="463" t="s">
        <v>78</v>
      </c>
      <c r="D67" s="463" t="s">
        <v>125</v>
      </c>
      <c r="E67" s="463" t="s">
        <v>126</v>
      </c>
      <c r="F67" s="439"/>
      <c r="G67" s="464" t="s">
        <v>129</v>
      </c>
      <c r="H67" s="463">
        <v>4.0</v>
      </c>
      <c r="I67" s="465">
        <v>0.10902777777777778</v>
      </c>
      <c r="J67" s="463">
        <v>3.0</v>
      </c>
      <c r="K67" s="470">
        <v>0.09444444444444444</v>
      </c>
      <c r="L67" s="454"/>
      <c r="M67" s="460" t="s">
        <v>160</v>
      </c>
      <c r="N67" s="413"/>
      <c r="O67" s="413"/>
      <c r="P67" s="413"/>
      <c r="Q67" s="413"/>
      <c r="R67" s="413"/>
      <c r="S67" s="413"/>
      <c r="T67" s="413"/>
      <c r="U67" s="413"/>
      <c r="V67" s="413"/>
      <c r="W67" s="413"/>
      <c r="X67" s="413"/>
      <c r="Y67" s="413"/>
      <c r="Z67" s="413"/>
    </row>
    <row r="68" hidden="1">
      <c r="A68" s="462">
        <v>45869.0</v>
      </c>
      <c r="B68" s="460" t="s">
        <v>71</v>
      </c>
      <c r="C68" s="463" t="s">
        <v>70</v>
      </c>
      <c r="D68" s="463" t="s">
        <v>125</v>
      </c>
      <c r="E68" s="463" t="s">
        <v>126</v>
      </c>
      <c r="F68" s="439"/>
      <c r="G68" s="464" t="s">
        <v>127</v>
      </c>
      <c r="H68" s="463">
        <v>1.0</v>
      </c>
      <c r="I68" s="467">
        <v>0.005555555555555556</v>
      </c>
      <c r="J68" s="439"/>
      <c r="K68" s="469"/>
      <c r="L68" s="463">
        <v>1.0</v>
      </c>
      <c r="M68" s="460" t="s">
        <v>139</v>
      </c>
      <c r="N68" s="413"/>
      <c r="O68" s="413"/>
      <c r="P68" s="413"/>
      <c r="Q68" s="413"/>
      <c r="R68" s="413"/>
      <c r="S68" s="413"/>
      <c r="T68" s="413"/>
      <c r="U68" s="413"/>
      <c r="V68" s="413"/>
      <c r="W68" s="413"/>
      <c r="X68" s="413"/>
      <c r="Y68" s="413"/>
      <c r="Z68" s="413"/>
    </row>
    <row r="69" hidden="1">
      <c r="A69" s="462">
        <v>45869.0</v>
      </c>
      <c r="B69" s="460" t="s">
        <v>71</v>
      </c>
      <c r="C69" s="463" t="s">
        <v>70</v>
      </c>
      <c r="D69" s="463" t="s">
        <v>144</v>
      </c>
      <c r="E69" s="463" t="s">
        <v>126</v>
      </c>
      <c r="F69" s="439"/>
      <c r="G69" s="464" t="s">
        <v>129</v>
      </c>
      <c r="H69" s="463">
        <v>2.0</v>
      </c>
      <c r="I69" s="467">
        <v>0.14652777777777778</v>
      </c>
      <c r="J69" s="463">
        <v>2.0</v>
      </c>
      <c r="K69" s="470">
        <v>0.14652777777777778</v>
      </c>
      <c r="L69" s="463">
        <v>2.0</v>
      </c>
      <c r="M69" s="460" t="s">
        <v>161</v>
      </c>
      <c r="N69" s="413"/>
      <c r="O69" s="413"/>
      <c r="P69" s="413"/>
      <c r="Q69" s="413"/>
      <c r="R69" s="413"/>
      <c r="S69" s="413"/>
      <c r="T69" s="413"/>
      <c r="U69" s="413"/>
      <c r="V69" s="413"/>
      <c r="W69" s="413"/>
      <c r="X69" s="413"/>
      <c r="Y69" s="413"/>
      <c r="Z69" s="413"/>
    </row>
    <row r="70" hidden="1">
      <c r="A70" s="471">
        <v>45870.0</v>
      </c>
      <c r="B70" s="472" t="s">
        <v>71</v>
      </c>
      <c r="C70" s="473" t="s">
        <v>70</v>
      </c>
      <c r="D70" s="473" t="s">
        <v>144</v>
      </c>
      <c r="E70" s="473" t="s">
        <v>126</v>
      </c>
      <c r="F70" s="439"/>
      <c r="G70" s="474" t="s">
        <v>127</v>
      </c>
      <c r="H70" s="473">
        <v>1.0</v>
      </c>
      <c r="I70" s="475">
        <v>0.12847222222222224</v>
      </c>
      <c r="J70" s="476"/>
      <c r="K70" s="477"/>
      <c r="L70" s="473">
        <v>1.0</v>
      </c>
      <c r="M70" s="472" t="s">
        <v>162</v>
      </c>
      <c r="N70" s="413"/>
      <c r="O70" s="413"/>
      <c r="P70" s="413"/>
      <c r="Q70" s="413"/>
      <c r="R70" s="413"/>
      <c r="S70" s="413"/>
      <c r="T70" s="413"/>
      <c r="U70" s="413"/>
      <c r="V70" s="413"/>
      <c r="W70" s="413"/>
      <c r="X70" s="413"/>
      <c r="Y70" s="413"/>
      <c r="Z70" s="413"/>
    </row>
    <row r="71" hidden="1">
      <c r="A71" s="471">
        <v>45870.0</v>
      </c>
      <c r="B71" s="472" t="s">
        <v>71</v>
      </c>
      <c r="C71" s="473" t="s">
        <v>70</v>
      </c>
      <c r="D71" s="473" t="s">
        <v>144</v>
      </c>
      <c r="E71" s="473" t="s">
        <v>126</v>
      </c>
      <c r="F71" s="439"/>
      <c r="G71" s="474" t="s">
        <v>129</v>
      </c>
      <c r="H71" s="478"/>
      <c r="I71" s="479"/>
      <c r="J71" s="473">
        <v>1.0</v>
      </c>
      <c r="K71" s="480">
        <v>0.12847222222222224</v>
      </c>
      <c r="L71" s="478"/>
      <c r="M71" s="472" t="s">
        <v>163</v>
      </c>
      <c r="N71" s="413"/>
      <c r="O71" s="413"/>
      <c r="P71" s="413"/>
      <c r="Q71" s="413"/>
      <c r="R71" s="413"/>
      <c r="S71" s="413"/>
      <c r="T71" s="413"/>
      <c r="U71" s="413"/>
      <c r="V71" s="413"/>
      <c r="W71" s="413"/>
      <c r="X71" s="413"/>
      <c r="Y71" s="413"/>
      <c r="Z71" s="413"/>
    </row>
    <row r="72" hidden="1">
      <c r="A72" s="462">
        <v>45870.0</v>
      </c>
      <c r="B72" s="460" t="s">
        <v>71</v>
      </c>
      <c r="C72" s="463" t="s">
        <v>70</v>
      </c>
      <c r="D72" s="463" t="s">
        <v>125</v>
      </c>
      <c r="E72" s="463" t="s">
        <v>126</v>
      </c>
      <c r="F72" s="439"/>
      <c r="G72" s="464" t="s">
        <v>127</v>
      </c>
      <c r="H72" s="463">
        <v>1.0</v>
      </c>
      <c r="I72" s="465">
        <v>0.006944444444444444</v>
      </c>
      <c r="J72" s="459"/>
      <c r="K72" s="458"/>
      <c r="L72" s="463">
        <v>1.0</v>
      </c>
      <c r="M72" s="460" t="s">
        <v>164</v>
      </c>
      <c r="N72" s="413"/>
      <c r="O72" s="413"/>
      <c r="P72" s="413"/>
      <c r="Q72" s="413"/>
      <c r="R72" s="413"/>
      <c r="S72" s="413"/>
      <c r="T72" s="413"/>
      <c r="U72" s="413"/>
      <c r="V72" s="413"/>
      <c r="W72" s="413"/>
      <c r="X72" s="413"/>
      <c r="Y72" s="413"/>
      <c r="Z72" s="413"/>
    </row>
    <row r="73" hidden="1">
      <c r="A73" s="462">
        <v>45870.0</v>
      </c>
      <c r="B73" s="460" t="s">
        <v>77</v>
      </c>
      <c r="C73" s="463" t="s">
        <v>55</v>
      </c>
      <c r="D73" s="463" t="s">
        <v>125</v>
      </c>
      <c r="E73" s="463" t="s">
        <v>126</v>
      </c>
      <c r="F73" s="439"/>
      <c r="G73" s="464" t="s">
        <v>158</v>
      </c>
      <c r="H73" s="463">
        <v>4.0</v>
      </c>
      <c r="I73" s="465">
        <v>0.08055555555555556</v>
      </c>
      <c r="J73" s="463">
        <v>4.0</v>
      </c>
      <c r="K73" s="470">
        <v>0.08055555555555556</v>
      </c>
      <c r="L73" s="454"/>
      <c r="M73" s="460" t="s">
        <v>165</v>
      </c>
      <c r="N73" s="413"/>
      <c r="O73" s="413"/>
      <c r="P73" s="413"/>
      <c r="Q73" s="413"/>
      <c r="R73" s="413"/>
      <c r="S73" s="413"/>
      <c r="T73" s="413"/>
      <c r="U73" s="413"/>
      <c r="V73" s="413"/>
      <c r="W73" s="413"/>
      <c r="X73" s="413"/>
      <c r="Y73" s="413"/>
      <c r="Z73" s="413"/>
    </row>
    <row r="74" hidden="1">
      <c r="A74" s="462">
        <v>45873.0</v>
      </c>
      <c r="B74" s="460" t="s">
        <v>71</v>
      </c>
      <c r="C74" s="463" t="s">
        <v>70</v>
      </c>
      <c r="D74" s="463" t="s">
        <v>125</v>
      </c>
      <c r="E74" s="463" t="s">
        <v>126</v>
      </c>
      <c r="F74" s="439"/>
      <c r="G74" s="464" t="s">
        <v>127</v>
      </c>
      <c r="H74" s="463">
        <v>1.0</v>
      </c>
      <c r="I74" s="465">
        <v>0.006944444444444444</v>
      </c>
      <c r="J74" s="439"/>
      <c r="K74" s="469"/>
      <c r="L74" s="463">
        <v>1.0</v>
      </c>
      <c r="M74" s="460" t="s">
        <v>139</v>
      </c>
      <c r="N74" s="413"/>
      <c r="O74" s="413"/>
      <c r="P74" s="413"/>
      <c r="Q74" s="413"/>
      <c r="R74" s="413"/>
      <c r="S74" s="413"/>
      <c r="T74" s="413"/>
      <c r="U74" s="413"/>
      <c r="V74" s="413"/>
      <c r="W74" s="413"/>
      <c r="X74" s="413"/>
      <c r="Y74" s="413"/>
      <c r="Z74" s="413"/>
    </row>
    <row r="75" hidden="1">
      <c r="A75" s="462">
        <v>45874.0</v>
      </c>
      <c r="B75" s="460" t="s">
        <v>83</v>
      </c>
      <c r="C75" s="463" t="s">
        <v>70</v>
      </c>
      <c r="D75" s="463" t="s">
        <v>125</v>
      </c>
      <c r="E75" s="463" t="s">
        <v>126</v>
      </c>
      <c r="F75" s="439"/>
      <c r="G75" s="464" t="s">
        <v>127</v>
      </c>
      <c r="H75" s="463">
        <v>2.0</v>
      </c>
      <c r="I75" s="465">
        <v>0.1840277777777778</v>
      </c>
      <c r="J75" s="439"/>
      <c r="K75" s="469"/>
      <c r="L75" s="454"/>
      <c r="M75" s="460" t="s">
        <v>133</v>
      </c>
      <c r="N75" s="413"/>
      <c r="O75" s="413"/>
      <c r="P75" s="413"/>
      <c r="Q75" s="413"/>
      <c r="R75" s="413"/>
      <c r="S75" s="413"/>
      <c r="T75" s="413"/>
      <c r="U75" s="413"/>
      <c r="V75" s="413"/>
      <c r="W75" s="413"/>
      <c r="X75" s="413"/>
      <c r="Y75" s="413"/>
      <c r="Z75" s="413"/>
    </row>
    <row r="76" hidden="1">
      <c r="A76" s="462">
        <v>45874.0</v>
      </c>
      <c r="B76" s="460" t="s">
        <v>83</v>
      </c>
      <c r="C76" s="463" t="s">
        <v>70</v>
      </c>
      <c r="D76" s="463" t="s">
        <v>144</v>
      </c>
      <c r="E76" s="463" t="s">
        <v>126</v>
      </c>
      <c r="F76" s="439"/>
      <c r="G76" s="464" t="s">
        <v>127</v>
      </c>
      <c r="H76" s="463">
        <v>1.0</v>
      </c>
      <c r="I76" s="465">
        <v>0.12847222222222224</v>
      </c>
      <c r="J76" s="459"/>
      <c r="K76" s="458"/>
      <c r="L76" s="454"/>
      <c r="M76" s="481" t="s">
        <v>166</v>
      </c>
      <c r="N76" s="413"/>
      <c r="O76" s="413"/>
      <c r="P76" s="413"/>
      <c r="Q76" s="413"/>
      <c r="R76" s="413"/>
      <c r="S76" s="413"/>
      <c r="T76" s="413"/>
      <c r="U76" s="413"/>
      <c r="V76" s="413"/>
      <c r="W76" s="413"/>
      <c r="X76" s="413"/>
      <c r="Y76" s="413"/>
      <c r="Z76" s="413"/>
    </row>
    <row r="77" hidden="1">
      <c r="A77" s="462">
        <v>45874.0</v>
      </c>
      <c r="B77" s="460" t="s">
        <v>77</v>
      </c>
      <c r="C77" s="463" t="s">
        <v>55</v>
      </c>
      <c r="D77" s="463" t="s">
        <v>125</v>
      </c>
      <c r="E77" s="463" t="s">
        <v>126</v>
      </c>
      <c r="F77" s="439"/>
      <c r="G77" s="464" t="s">
        <v>158</v>
      </c>
      <c r="H77" s="463">
        <v>5.0</v>
      </c>
      <c r="I77" s="465">
        <v>0.09236111111111112</v>
      </c>
      <c r="J77" s="463">
        <v>2.0</v>
      </c>
      <c r="K77" s="468">
        <v>0.05625</v>
      </c>
      <c r="L77" s="454"/>
      <c r="M77" s="460" t="s">
        <v>167</v>
      </c>
      <c r="N77" s="413"/>
      <c r="O77" s="413"/>
      <c r="P77" s="413"/>
      <c r="Q77" s="413"/>
      <c r="R77" s="413"/>
      <c r="S77" s="413"/>
      <c r="T77" s="413"/>
      <c r="U77" s="413"/>
      <c r="V77" s="413"/>
      <c r="W77" s="413"/>
      <c r="X77" s="413"/>
      <c r="Y77" s="413"/>
      <c r="Z77" s="413"/>
    </row>
    <row r="78" hidden="1">
      <c r="A78" s="462">
        <v>45875.0</v>
      </c>
      <c r="B78" s="460" t="s">
        <v>71</v>
      </c>
      <c r="C78" s="463" t="s">
        <v>70</v>
      </c>
      <c r="D78" s="463" t="s">
        <v>125</v>
      </c>
      <c r="E78" s="463" t="s">
        <v>126</v>
      </c>
      <c r="F78" s="439"/>
      <c r="G78" s="464" t="s">
        <v>129</v>
      </c>
      <c r="H78" s="463">
        <v>1.0</v>
      </c>
      <c r="I78" s="465">
        <v>0.006944444444444444</v>
      </c>
      <c r="J78" s="439"/>
      <c r="K78" s="458"/>
      <c r="L78" s="463">
        <v>1.0</v>
      </c>
      <c r="M78" s="460" t="s">
        <v>139</v>
      </c>
      <c r="N78" s="413"/>
      <c r="O78" s="413"/>
      <c r="P78" s="413"/>
      <c r="Q78" s="413"/>
      <c r="R78" s="413"/>
      <c r="S78" s="413"/>
      <c r="T78" s="413"/>
      <c r="U78" s="413"/>
      <c r="V78" s="413"/>
      <c r="W78" s="413"/>
      <c r="X78" s="413"/>
      <c r="Y78" s="413"/>
      <c r="Z78" s="413"/>
    </row>
    <row r="79" hidden="1">
      <c r="A79" s="462">
        <v>45875.0</v>
      </c>
      <c r="B79" s="460" t="s">
        <v>77</v>
      </c>
      <c r="C79" s="463" t="s">
        <v>55</v>
      </c>
      <c r="D79" s="463" t="s">
        <v>131</v>
      </c>
      <c r="E79" s="463" t="s">
        <v>126</v>
      </c>
      <c r="F79" s="439"/>
      <c r="G79" s="464" t="s">
        <v>158</v>
      </c>
      <c r="H79" s="463">
        <v>4.0</v>
      </c>
      <c r="I79" s="465">
        <v>0.07222222222222223</v>
      </c>
      <c r="J79" s="463">
        <v>1.0</v>
      </c>
      <c r="K79" s="468">
        <v>0.013194444444444444</v>
      </c>
      <c r="L79" s="454"/>
      <c r="M79" s="460" t="s">
        <v>168</v>
      </c>
      <c r="N79" s="413"/>
      <c r="O79" s="413"/>
      <c r="P79" s="413"/>
      <c r="Q79" s="413"/>
      <c r="R79" s="413"/>
      <c r="S79" s="413"/>
      <c r="T79" s="413"/>
      <c r="U79" s="413"/>
      <c r="V79" s="413"/>
      <c r="W79" s="413"/>
      <c r="X79" s="413"/>
      <c r="Y79" s="413"/>
      <c r="Z79" s="413"/>
    </row>
    <row r="80" hidden="1">
      <c r="A80" s="462">
        <v>45876.0</v>
      </c>
      <c r="B80" s="460" t="s">
        <v>83</v>
      </c>
      <c r="C80" s="463" t="s">
        <v>70</v>
      </c>
      <c r="D80" s="463" t="s">
        <v>125</v>
      </c>
      <c r="E80" s="463" t="s">
        <v>126</v>
      </c>
      <c r="F80" s="439"/>
      <c r="G80" s="464" t="s">
        <v>127</v>
      </c>
      <c r="H80" s="463">
        <v>3.0</v>
      </c>
      <c r="I80" s="465">
        <v>0.21319444444444444</v>
      </c>
      <c r="J80" s="459"/>
      <c r="K80" s="458"/>
      <c r="L80" s="454"/>
      <c r="M80" s="460" t="s">
        <v>133</v>
      </c>
      <c r="N80" s="413"/>
      <c r="O80" s="413"/>
      <c r="P80" s="413"/>
      <c r="Q80" s="413"/>
      <c r="R80" s="413"/>
      <c r="S80" s="413"/>
      <c r="T80" s="413"/>
      <c r="U80" s="413"/>
      <c r="V80" s="413"/>
      <c r="W80" s="413"/>
      <c r="X80" s="413"/>
      <c r="Y80" s="413"/>
      <c r="Z80" s="413"/>
    </row>
    <row r="81" hidden="1">
      <c r="A81" s="462">
        <v>45877.0</v>
      </c>
      <c r="B81" s="460" t="s">
        <v>83</v>
      </c>
      <c r="C81" s="463" t="s">
        <v>70</v>
      </c>
      <c r="D81" s="463" t="s">
        <v>144</v>
      </c>
      <c r="E81" s="463" t="s">
        <v>126</v>
      </c>
      <c r="F81" s="439"/>
      <c r="G81" s="464" t="s">
        <v>127</v>
      </c>
      <c r="H81" s="463">
        <v>1.0</v>
      </c>
      <c r="I81" s="465">
        <v>0.05486111111111111</v>
      </c>
      <c r="J81" s="459"/>
      <c r="K81" s="458"/>
      <c r="L81" s="454"/>
      <c r="M81" s="460" t="s">
        <v>169</v>
      </c>
      <c r="N81" s="413"/>
      <c r="O81" s="413"/>
      <c r="P81" s="413"/>
      <c r="Q81" s="413"/>
      <c r="R81" s="413"/>
      <c r="S81" s="413"/>
      <c r="T81" s="413"/>
      <c r="U81" s="413"/>
      <c r="V81" s="413"/>
      <c r="W81" s="413"/>
      <c r="X81" s="413"/>
      <c r="Y81" s="413"/>
      <c r="Z81" s="413"/>
    </row>
    <row r="82" hidden="1">
      <c r="A82" s="462">
        <v>45877.0</v>
      </c>
      <c r="B82" s="460" t="s">
        <v>71</v>
      </c>
      <c r="C82" s="463" t="s">
        <v>70</v>
      </c>
      <c r="D82" s="463" t="s">
        <v>144</v>
      </c>
      <c r="E82" s="463" t="s">
        <v>126</v>
      </c>
      <c r="F82" s="439"/>
      <c r="G82" s="464" t="s">
        <v>127</v>
      </c>
      <c r="H82" s="463">
        <v>1.0</v>
      </c>
      <c r="I82" s="465">
        <v>0.12847222222222224</v>
      </c>
      <c r="J82" s="439"/>
      <c r="K82" s="469"/>
      <c r="L82" s="463">
        <v>1.0</v>
      </c>
      <c r="M82" s="460" t="s">
        <v>162</v>
      </c>
      <c r="N82" s="413"/>
      <c r="O82" s="413"/>
      <c r="P82" s="413"/>
      <c r="Q82" s="413"/>
      <c r="R82" s="413"/>
      <c r="S82" s="413"/>
      <c r="T82" s="413"/>
      <c r="U82" s="413"/>
      <c r="V82" s="413"/>
      <c r="W82" s="413"/>
      <c r="X82" s="413"/>
      <c r="Y82" s="413"/>
      <c r="Z82" s="413"/>
    </row>
    <row r="83" hidden="1">
      <c r="A83" s="462">
        <v>45877.0</v>
      </c>
      <c r="B83" s="460" t="s">
        <v>71</v>
      </c>
      <c r="C83" s="463" t="s">
        <v>70</v>
      </c>
      <c r="D83" s="463" t="s">
        <v>144</v>
      </c>
      <c r="E83" s="463" t="s">
        <v>126</v>
      </c>
      <c r="F83" s="439"/>
      <c r="G83" s="464" t="s">
        <v>129</v>
      </c>
      <c r="H83" s="454"/>
      <c r="I83" s="456"/>
      <c r="J83" s="463">
        <v>1.0</v>
      </c>
      <c r="K83" s="470">
        <v>0.12847222222222224</v>
      </c>
      <c r="L83" s="454"/>
      <c r="M83" s="460" t="s">
        <v>170</v>
      </c>
      <c r="N83" s="413"/>
      <c r="O83" s="413"/>
      <c r="P83" s="413"/>
      <c r="Q83" s="413"/>
      <c r="R83" s="413"/>
      <c r="S83" s="413"/>
      <c r="T83" s="413"/>
      <c r="U83" s="413"/>
      <c r="V83" s="413"/>
      <c r="W83" s="413"/>
      <c r="X83" s="413"/>
      <c r="Y83" s="413"/>
      <c r="Z83" s="413"/>
    </row>
    <row r="84" hidden="1">
      <c r="A84" s="462">
        <v>45877.0</v>
      </c>
      <c r="B84" s="460" t="s">
        <v>83</v>
      </c>
      <c r="C84" s="463" t="s">
        <v>70</v>
      </c>
      <c r="D84" s="463" t="s">
        <v>125</v>
      </c>
      <c r="E84" s="463" t="s">
        <v>126</v>
      </c>
      <c r="F84" s="439"/>
      <c r="G84" s="464" t="s">
        <v>127</v>
      </c>
      <c r="H84" s="463">
        <v>1.0</v>
      </c>
      <c r="I84" s="465">
        <v>0.018055555555555557</v>
      </c>
      <c r="J84" s="459"/>
      <c r="K84" s="458"/>
      <c r="L84" s="454"/>
      <c r="M84" s="460" t="s">
        <v>133</v>
      </c>
      <c r="N84" s="413"/>
      <c r="O84" s="413"/>
      <c r="P84" s="413"/>
      <c r="Q84" s="413"/>
      <c r="R84" s="413"/>
      <c r="S84" s="413"/>
      <c r="T84" s="413"/>
      <c r="U84" s="413"/>
      <c r="V84" s="413"/>
      <c r="W84" s="413"/>
      <c r="X84" s="413"/>
      <c r="Y84" s="413"/>
      <c r="Z84" s="413"/>
    </row>
    <row r="85" hidden="1">
      <c r="A85" s="462">
        <v>45877.0</v>
      </c>
      <c r="B85" s="460" t="s">
        <v>77</v>
      </c>
      <c r="C85" s="463" t="s">
        <v>55</v>
      </c>
      <c r="D85" s="463" t="s">
        <v>125</v>
      </c>
      <c r="E85" s="463" t="s">
        <v>126</v>
      </c>
      <c r="F85" s="439"/>
      <c r="G85" s="464" t="s">
        <v>158</v>
      </c>
      <c r="H85" s="463">
        <v>4.0</v>
      </c>
      <c r="I85" s="465">
        <v>0.061111111111111116</v>
      </c>
      <c r="J85" s="459"/>
      <c r="K85" s="458"/>
      <c r="L85" s="454"/>
      <c r="M85" s="460" t="s">
        <v>171</v>
      </c>
      <c r="N85" s="413"/>
      <c r="O85" s="413"/>
      <c r="P85" s="413"/>
      <c r="Q85" s="413"/>
      <c r="R85" s="413"/>
      <c r="S85" s="413"/>
      <c r="T85" s="413"/>
      <c r="U85" s="413"/>
      <c r="V85" s="413"/>
      <c r="W85" s="413"/>
      <c r="X85" s="413"/>
      <c r="Y85" s="413"/>
      <c r="Z85" s="413"/>
    </row>
    <row r="86" hidden="1">
      <c r="A86" s="462">
        <v>45879.0</v>
      </c>
      <c r="B86" s="460" t="s">
        <v>71</v>
      </c>
      <c r="C86" s="463" t="s">
        <v>70</v>
      </c>
      <c r="D86" s="463" t="s">
        <v>125</v>
      </c>
      <c r="E86" s="463" t="s">
        <v>126</v>
      </c>
      <c r="F86" s="439"/>
      <c r="G86" s="464" t="s">
        <v>127</v>
      </c>
      <c r="H86" s="463">
        <v>1.0</v>
      </c>
      <c r="I86" s="465">
        <v>0.13194444444444445</v>
      </c>
      <c r="J86" s="459"/>
      <c r="K86" s="458"/>
      <c r="L86" s="463">
        <v>1.0</v>
      </c>
      <c r="M86" s="460" t="s">
        <v>139</v>
      </c>
      <c r="N86" s="413"/>
      <c r="O86" s="413"/>
      <c r="P86" s="413"/>
      <c r="Q86" s="413"/>
      <c r="R86" s="413"/>
      <c r="S86" s="413"/>
      <c r="T86" s="413"/>
      <c r="U86" s="413"/>
      <c r="V86" s="413"/>
      <c r="W86" s="413"/>
      <c r="X86" s="413"/>
      <c r="Y86" s="413"/>
      <c r="Z86" s="413"/>
    </row>
    <row r="87" hidden="1">
      <c r="A87" s="462">
        <v>45879.0</v>
      </c>
      <c r="B87" s="460" t="s">
        <v>71</v>
      </c>
      <c r="C87" s="463" t="s">
        <v>70</v>
      </c>
      <c r="D87" s="463" t="s">
        <v>125</v>
      </c>
      <c r="E87" s="463" t="s">
        <v>126</v>
      </c>
      <c r="F87" s="439"/>
      <c r="G87" s="464" t="s">
        <v>129</v>
      </c>
      <c r="H87" s="454"/>
      <c r="I87" s="456"/>
      <c r="J87" s="463">
        <v>1.0</v>
      </c>
      <c r="K87" s="470">
        <v>0.13194444444444445</v>
      </c>
      <c r="L87" s="454"/>
      <c r="M87" s="460" t="s">
        <v>170</v>
      </c>
      <c r="N87" s="413"/>
      <c r="O87" s="413"/>
      <c r="P87" s="413"/>
      <c r="Q87" s="413"/>
      <c r="R87" s="413"/>
      <c r="S87" s="413"/>
      <c r="T87" s="413"/>
      <c r="U87" s="413"/>
      <c r="V87" s="413"/>
      <c r="W87" s="413"/>
      <c r="X87" s="413"/>
      <c r="Y87" s="413"/>
      <c r="Z87" s="413"/>
    </row>
    <row r="88" hidden="1">
      <c r="A88" s="462">
        <v>45880.0</v>
      </c>
      <c r="B88" s="460" t="s">
        <v>71</v>
      </c>
      <c r="C88" s="463" t="s">
        <v>70</v>
      </c>
      <c r="D88" s="463" t="s">
        <v>125</v>
      </c>
      <c r="E88" s="463" t="s">
        <v>126</v>
      </c>
      <c r="F88" s="439"/>
      <c r="G88" s="464" t="s">
        <v>127</v>
      </c>
      <c r="H88" s="463">
        <v>1.0</v>
      </c>
      <c r="I88" s="465">
        <v>0.005555555555555556</v>
      </c>
      <c r="J88" s="459"/>
      <c r="K88" s="458"/>
      <c r="L88" s="463">
        <v>1.0</v>
      </c>
      <c r="M88" s="460" t="s">
        <v>139</v>
      </c>
      <c r="N88" s="413"/>
      <c r="O88" s="413"/>
      <c r="P88" s="413"/>
      <c r="Q88" s="413"/>
      <c r="R88" s="413"/>
      <c r="S88" s="413"/>
      <c r="T88" s="413"/>
      <c r="U88" s="413"/>
      <c r="V88" s="413"/>
      <c r="W88" s="413"/>
      <c r="X88" s="413"/>
      <c r="Y88" s="413"/>
      <c r="Z88" s="413"/>
    </row>
    <row r="89" hidden="1">
      <c r="A89" s="462">
        <v>45880.0</v>
      </c>
      <c r="B89" s="460" t="s">
        <v>71</v>
      </c>
      <c r="C89" s="463" t="s">
        <v>70</v>
      </c>
      <c r="D89" s="463" t="s">
        <v>125</v>
      </c>
      <c r="E89" s="463" t="s">
        <v>126</v>
      </c>
      <c r="F89" s="439"/>
      <c r="G89" s="464" t="s">
        <v>127</v>
      </c>
      <c r="H89" s="463">
        <v>1.0</v>
      </c>
      <c r="I89" s="465">
        <v>0.1486111111111111</v>
      </c>
      <c r="J89" s="459"/>
      <c r="K89" s="458"/>
      <c r="L89" s="463">
        <v>1.0</v>
      </c>
      <c r="M89" s="460" t="s">
        <v>139</v>
      </c>
      <c r="N89" s="413"/>
      <c r="O89" s="413"/>
      <c r="P89" s="413"/>
      <c r="Q89" s="413"/>
      <c r="R89" s="413"/>
      <c r="S89" s="413"/>
      <c r="T89" s="413"/>
      <c r="U89" s="413"/>
      <c r="V89" s="413"/>
      <c r="W89" s="413"/>
      <c r="X89" s="413"/>
      <c r="Y89" s="413"/>
      <c r="Z89" s="413"/>
    </row>
    <row r="90" hidden="1">
      <c r="A90" s="462">
        <v>45880.0</v>
      </c>
      <c r="B90" s="460" t="s">
        <v>71</v>
      </c>
      <c r="C90" s="463" t="s">
        <v>70</v>
      </c>
      <c r="D90" s="463" t="s">
        <v>125</v>
      </c>
      <c r="E90" s="463" t="s">
        <v>126</v>
      </c>
      <c r="F90" s="439"/>
      <c r="G90" s="464" t="s">
        <v>129</v>
      </c>
      <c r="H90" s="454"/>
      <c r="I90" s="456"/>
      <c r="J90" s="463">
        <v>1.0</v>
      </c>
      <c r="K90" s="470">
        <v>0.1486111111111111</v>
      </c>
      <c r="L90" s="454"/>
      <c r="M90" s="460" t="s">
        <v>170</v>
      </c>
      <c r="N90" s="413"/>
      <c r="O90" s="413"/>
      <c r="P90" s="413"/>
      <c r="Q90" s="413"/>
      <c r="R90" s="413"/>
      <c r="S90" s="413"/>
      <c r="T90" s="413"/>
      <c r="U90" s="413"/>
      <c r="V90" s="413"/>
      <c r="W90" s="413"/>
      <c r="X90" s="413"/>
      <c r="Y90" s="413"/>
      <c r="Z90" s="413"/>
    </row>
    <row r="91" hidden="1">
      <c r="A91" s="462">
        <v>45881.0</v>
      </c>
      <c r="B91" s="460" t="s">
        <v>71</v>
      </c>
      <c r="C91" s="463" t="s">
        <v>70</v>
      </c>
      <c r="D91" s="463" t="s">
        <v>125</v>
      </c>
      <c r="E91" s="463" t="s">
        <v>126</v>
      </c>
      <c r="F91" s="439"/>
      <c r="G91" s="464" t="s">
        <v>127</v>
      </c>
      <c r="H91" s="463">
        <v>1.0</v>
      </c>
      <c r="I91" s="465">
        <v>0.15138888888888888</v>
      </c>
      <c r="J91" s="459"/>
      <c r="K91" s="458"/>
      <c r="L91" s="463">
        <v>1.0</v>
      </c>
      <c r="M91" s="460" t="s">
        <v>172</v>
      </c>
      <c r="N91" s="413"/>
      <c r="O91" s="413"/>
      <c r="P91" s="413"/>
      <c r="Q91" s="413"/>
      <c r="R91" s="413"/>
      <c r="S91" s="413"/>
      <c r="T91" s="413"/>
      <c r="U91" s="413"/>
      <c r="V91" s="413"/>
      <c r="W91" s="413"/>
      <c r="X91" s="413"/>
      <c r="Y91" s="413"/>
      <c r="Z91" s="413"/>
    </row>
    <row r="92" hidden="1">
      <c r="A92" s="462">
        <v>45881.0</v>
      </c>
      <c r="B92" s="460" t="s">
        <v>71</v>
      </c>
      <c r="C92" s="463" t="s">
        <v>70</v>
      </c>
      <c r="D92" s="463" t="s">
        <v>125</v>
      </c>
      <c r="E92" s="463" t="s">
        <v>126</v>
      </c>
      <c r="F92" s="439"/>
      <c r="G92" s="464" t="s">
        <v>129</v>
      </c>
      <c r="H92" s="454"/>
      <c r="I92" s="456"/>
      <c r="J92" s="463">
        <v>1.0</v>
      </c>
      <c r="K92" s="470">
        <v>0.15138888888888888</v>
      </c>
      <c r="L92" s="454"/>
      <c r="M92" s="460" t="s">
        <v>170</v>
      </c>
      <c r="N92" s="413"/>
      <c r="O92" s="413"/>
      <c r="P92" s="413"/>
      <c r="Q92" s="413"/>
      <c r="R92" s="413"/>
      <c r="S92" s="413"/>
      <c r="T92" s="413"/>
      <c r="U92" s="413"/>
      <c r="V92" s="413"/>
      <c r="W92" s="413"/>
      <c r="X92" s="413"/>
      <c r="Y92" s="413"/>
      <c r="Z92" s="413"/>
    </row>
    <row r="93" hidden="1">
      <c r="A93" s="462">
        <v>45882.0</v>
      </c>
      <c r="B93" s="460" t="s">
        <v>71</v>
      </c>
      <c r="C93" s="463" t="s">
        <v>70</v>
      </c>
      <c r="D93" s="463" t="s">
        <v>125</v>
      </c>
      <c r="E93" s="463" t="s">
        <v>126</v>
      </c>
      <c r="F93" s="439"/>
      <c r="G93" s="464" t="s">
        <v>134</v>
      </c>
      <c r="H93" s="463">
        <v>1.0</v>
      </c>
      <c r="I93" s="465">
        <v>0.006944444444444444</v>
      </c>
      <c r="J93" s="459"/>
      <c r="K93" s="458"/>
      <c r="L93" s="463">
        <v>1.0</v>
      </c>
      <c r="M93" s="460" t="s">
        <v>173</v>
      </c>
      <c r="N93" s="413"/>
      <c r="O93" s="413"/>
      <c r="P93" s="413"/>
      <c r="Q93" s="413"/>
      <c r="R93" s="413"/>
      <c r="S93" s="413"/>
      <c r="T93" s="413"/>
      <c r="U93" s="413"/>
      <c r="V93" s="413"/>
      <c r="W93" s="413"/>
      <c r="X93" s="413"/>
      <c r="Y93" s="413"/>
      <c r="Z93" s="413"/>
    </row>
    <row r="94" hidden="1">
      <c r="A94" s="462">
        <v>45882.0</v>
      </c>
      <c r="B94" s="460" t="s">
        <v>71</v>
      </c>
      <c r="C94" s="463" t="s">
        <v>70</v>
      </c>
      <c r="D94" s="463" t="s">
        <v>144</v>
      </c>
      <c r="E94" s="463" t="s">
        <v>126</v>
      </c>
      <c r="F94" s="439"/>
      <c r="G94" s="464" t="s">
        <v>129</v>
      </c>
      <c r="H94" s="463">
        <v>1.0</v>
      </c>
      <c r="I94" s="465">
        <v>0.15625</v>
      </c>
      <c r="J94" s="459"/>
      <c r="K94" s="458"/>
      <c r="L94" s="463">
        <v>1.0</v>
      </c>
      <c r="M94" s="460" t="s">
        <v>174</v>
      </c>
      <c r="N94" s="413"/>
      <c r="O94" s="413"/>
      <c r="P94" s="413"/>
      <c r="Q94" s="413"/>
      <c r="R94" s="413"/>
      <c r="S94" s="413"/>
      <c r="T94" s="413"/>
      <c r="U94" s="413"/>
      <c r="V94" s="413"/>
      <c r="W94" s="413"/>
      <c r="X94" s="413"/>
      <c r="Y94" s="413"/>
      <c r="Z94" s="413"/>
    </row>
    <row r="95" hidden="1">
      <c r="A95" s="462">
        <v>45883.0</v>
      </c>
      <c r="B95" s="460" t="s">
        <v>71</v>
      </c>
      <c r="C95" s="463" t="s">
        <v>70</v>
      </c>
      <c r="D95" s="463" t="s">
        <v>144</v>
      </c>
      <c r="E95" s="463" t="s">
        <v>126</v>
      </c>
      <c r="F95" s="439"/>
      <c r="G95" s="463" t="s">
        <v>175</v>
      </c>
      <c r="H95" s="463">
        <v>1.0</v>
      </c>
      <c r="I95" s="465">
        <v>0.1388888888888889</v>
      </c>
      <c r="J95" s="459"/>
      <c r="K95" s="458"/>
      <c r="L95" s="463">
        <v>1.0</v>
      </c>
      <c r="M95" s="460" t="s">
        <v>174</v>
      </c>
      <c r="N95" s="413"/>
      <c r="O95" s="413"/>
      <c r="P95" s="413"/>
      <c r="Q95" s="413"/>
      <c r="R95" s="413"/>
      <c r="S95" s="413"/>
      <c r="T95" s="413"/>
      <c r="U95" s="413"/>
      <c r="V95" s="413"/>
      <c r="W95" s="413"/>
      <c r="X95" s="413"/>
      <c r="Y95" s="413"/>
      <c r="Z95" s="413"/>
    </row>
    <row r="96" hidden="1">
      <c r="A96" s="462">
        <v>45884.0</v>
      </c>
      <c r="B96" s="460" t="s">
        <v>71</v>
      </c>
      <c r="C96" s="463" t="s">
        <v>70</v>
      </c>
      <c r="D96" s="463" t="s">
        <v>125</v>
      </c>
      <c r="E96" s="463" t="s">
        <v>126</v>
      </c>
      <c r="F96" s="439"/>
      <c r="G96" s="464" t="s">
        <v>127</v>
      </c>
      <c r="H96" s="463">
        <v>1.0</v>
      </c>
      <c r="I96" s="465">
        <v>0.010416666666666666</v>
      </c>
      <c r="J96" s="459"/>
      <c r="K96" s="458"/>
      <c r="L96" s="463">
        <v>1.0</v>
      </c>
      <c r="M96" s="482" t="s">
        <v>176</v>
      </c>
      <c r="N96" s="413"/>
      <c r="O96" s="413"/>
      <c r="P96" s="413"/>
      <c r="Q96" s="413"/>
      <c r="R96" s="413"/>
      <c r="S96" s="413"/>
      <c r="T96" s="413"/>
      <c r="U96" s="413"/>
      <c r="V96" s="413"/>
      <c r="W96" s="413"/>
      <c r="X96" s="413"/>
      <c r="Y96" s="413"/>
      <c r="Z96" s="413"/>
    </row>
    <row r="97" hidden="1">
      <c r="A97" s="483">
        <v>45889.0</v>
      </c>
      <c r="B97" s="484" t="s">
        <v>84</v>
      </c>
      <c r="C97" s="485" t="s">
        <v>70</v>
      </c>
      <c r="D97" s="485" t="s">
        <v>125</v>
      </c>
      <c r="E97" s="485"/>
      <c r="F97" s="485"/>
      <c r="G97" s="485" t="s">
        <v>127</v>
      </c>
      <c r="H97" s="485">
        <v>1.0</v>
      </c>
      <c r="I97" s="486">
        <v>0.009722222222222222</v>
      </c>
      <c r="J97" s="485">
        <v>1.0</v>
      </c>
      <c r="K97" s="484" t="s">
        <v>177</v>
      </c>
      <c r="L97" s="485">
        <v>1.0</v>
      </c>
      <c r="M97" s="484" t="s">
        <v>178</v>
      </c>
      <c r="N97" s="487"/>
      <c r="O97" s="487"/>
      <c r="P97" s="487"/>
      <c r="Q97" s="413"/>
      <c r="R97" s="413"/>
      <c r="S97" s="413"/>
      <c r="T97" s="413"/>
      <c r="U97" s="413"/>
      <c r="V97" s="413"/>
      <c r="W97" s="413"/>
      <c r="X97" s="413"/>
      <c r="Y97" s="413"/>
      <c r="Z97" s="413"/>
    </row>
    <row r="98" hidden="1">
      <c r="A98" s="483">
        <v>45890.0</v>
      </c>
      <c r="B98" s="484" t="s">
        <v>83</v>
      </c>
      <c r="C98" s="485" t="s">
        <v>70</v>
      </c>
      <c r="D98" s="485" t="s">
        <v>125</v>
      </c>
      <c r="E98" s="485"/>
      <c r="F98" s="485"/>
      <c r="G98" s="485" t="s">
        <v>127</v>
      </c>
      <c r="H98" s="485">
        <v>2.0</v>
      </c>
      <c r="I98" s="486">
        <v>0.03125</v>
      </c>
      <c r="J98" s="485">
        <v>2.0</v>
      </c>
      <c r="K98" s="484" t="s">
        <v>179</v>
      </c>
      <c r="L98" s="485">
        <v>2.0</v>
      </c>
      <c r="M98" s="484" t="s">
        <v>180</v>
      </c>
      <c r="N98" s="487"/>
      <c r="O98" s="487"/>
      <c r="P98" s="487"/>
      <c r="Q98" s="413"/>
      <c r="R98" s="413"/>
      <c r="S98" s="413"/>
      <c r="T98" s="413"/>
      <c r="U98" s="413"/>
      <c r="V98" s="413"/>
      <c r="W98" s="413"/>
      <c r="X98" s="413"/>
      <c r="Y98" s="413"/>
      <c r="Z98" s="413"/>
    </row>
    <row r="99" hidden="1">
      <c r="A99" s="483">
        <v>45890.0</v>
      </c>
      <c r="B99" s="484" t="s">
        <v>83</v>
      </c>
      <c r="C99" s="485" t="s">
        <v>70</v>
      </c>
      <c r="D99" s="485" t="s">
        <v>125</v>
      </c>
      <c r="E99" s="485"/>
      <c r="F99" s="485"/>
      <c r="G99" s="485" t="s">
        <v>127</v>
      </c>
      <c r="H99" s="485">
        <v>1.0</v>
      </c>
      <c r="I99" s="486">
        <v>0.01597222222222222</v>
      </c>
      <c r="J99" s="485">
        <v>1.0</v>
      </c>
      <c r="K99" s="484" t="s">
        <v>128</v>
      </c>
      <c r="L99" s="485">
        <v>1.0</v>
      </c>
      <c r="M99" s="484" t="s">
        <v>181</v>
      </c>
      <c r="N99" s="487"/>
      <c r="O99" s="487"/>
      <c r="P99" s="487"/>
      <c r="Q99" s="413"/>
      <c r="R99" s="413"/>
      <c r="S99" s="413"/>
      <c r="T99" s="413"/>
      <c r="U99" s="413"/>
      <c r="V99" s="413"/>
      <c r="W99" s="413"/>
      <c r="X99" s="413"/>
      <c r="Y99" s="413"/>
      <c r="Z99" s="413"/>
    </row>
    <row r="100" hidden="1">
      <c r="A100" s="483">
        <v>45890.0</v>
      </c>
      <c r="B100" s="484" t="s">
        <v>71</v>
      </c>
      <c r="C100" s="485" t="s">
        <v>70</v>
      </c>
      <c r="D100" s="485" t="s">
        <v>125</v>
      </c>
      <c r="E100" s="485"/>
      <c r="F100" s="485"/>
      <c r="G100" s="485" t="s">
        <v>127</v>
      </c>
      <c r="H100" s="485">
        <v>1.0</v>
      </c>
      <c r="I100" s="486">
        <v>0.005555555555555556</v>
      </c>
      <c r="J100" s="485">
        <v>1.0</v>
      </c>
      <c r="K100" s="484" t="s">
        <v>182</v>
      </c>
      <c r="L100" s="485">
        <v>1.0</v>
      </c>
      <c r="M100" s="484" t="s">
        <v>176</v>
      </c>
      <c r="N100" s="487"/>
      <c r="O100" s="487"/>
      <c r="P100" s="487"/>
      <c r="Q100" s="413"/>
      <c r="R100" s="413"/>
      <c r="S100" s="413"/>
      <c r="T100" s="413"/>
      <c r="U100" s="413"/>
      <c r="V100" s="413"/>
      <c r="W100" s="413"/>
      <c r="X100" s="413"/>
      <c r="Y100" s="413"/>
      <c r="Z100" s="413"/>
    </row>
    <row r="101" hidden="1">
      <c r="A101" s="483">
        <v>45891.0</v>
      </c>
      <c r="B101" s="484" t="s">
        <v>84</v>
      </c>
      <c r="C101" s="485" t="s">
        <v>70</v>
      </c>
      <c r="D101" s="485" t="s">
        <v>125</v>
      </c>
      <c r="E101" s="485"/>
      <c r="F101" s="485"/>
      <c r="G101" s="485" t="s">
        <v>127</v>
      </c>
      <c r="H101" s="485">
        <v>1.0</v>
      </c>
      <c r="I101" s="486">
        <v>0.006944444444444444</v>
      </c>
      <c r="J101" s="485">
        <v>1.0</v>
      </c>
      <c r="K101" s="484" t="s">
        <v>182</v>
      </c>
      <c r="L101" s="485">
        <v>1.0</v>
      </c>
      <c r="M101" s="484" t="s">
        <v>176</v>
      </c>
      <c r="N101" s="487"/>
      <c r="O101" s="487"/>
      <c r="P101" s="487"/>
      <c r="Q101" s="413"/>
      <c r="R101" s="413"/>
      <c r="S101" s="413"/>
      <c r="T101" s="413"/>
      <c r="U101" s="413"/>
      <c r="V101" s="413"/>
      <c r="W101" s="413"/>
      <c r="X101" s="413"/>
      <c r="Y101" s="413"/>
      <c r="Z101" s="413"/>
    </row>
    <row r="102" hidden="1">
      <c r="A102" s="483">
        <v>45891.0</v>
      </c>
      <c r="B102" s="484" t="s">
        <v>84</v>
      </c>
      <c r="C102" s="485" t="s">
        <v>70</v>
      </c>
      <c r="D102" s="485" t="s">
        <v>125</v>
      </c>
      <c r="E102" s="485"/>
      <c r="F102" s="485"/>
      <c r="G102" s="485" t="s">
        <v>127</v>
      </c>
      <c r="H102" s="485">
        <v>1.0</v>
      </c>
      <c r="I102" s="486">
        <v>0.006944444444444444</v>
      </c>
      <c r="J102" s="485">
        <v>1.0</v>
      </c>
      <c r="K102" s="484" t="s">
        <v>182</v>
      </c>
      <c r="L102" s="485">
        <v>1.0</v>
      </c>
      <c r="M102" s="484" t="s">
        <v>176</v>
      </c>
      <c r="N102" s="487"/>
      <c r="O102" s="487"/>
      <c r="P102" s="487"/>
      <c r="Q102" s="413"/>
      <c r="R102" s="413"/>
      <c r="S102" s="413"/>
      <c r="T102" s="413"/>
      <c r="U102" s="413"/>
      <c r="V102" s="413"/>
      <c r="W102" s="413"/>
      <c r="X102" s="413"/>
      <c r="Y102" s="413"/>
      <c r="Z102" s="413"/>
    </row>
    <row r="103" hidden="1">
      <c r="A103" s="483">
        <v>45892.0</v>
      </c>
      <c r="B103" s="484" t="s">
        <v>71</v>
      </c>
      <c r="C103" s="485" t="s">
        <v>70</v>
      </c>
      <c r="D103" s="485" t="s">
        <v>125</v>
      </c>
      <c r="E103" s="485"/>
      <c r="F103" s="485"/>
      <c r="G103" s="485" t="s">
        <v>127</v>
      </c>
      <c r="H103" s="485">
        <v>1.0</v>
      </c>
      <c r="I103" s="486">
        <v>0.0125</v>
      </c>
      <c r="J103" s="485">
        <v>1.0</v>
      </c>
      <c r="K103" s="484" t="s">
        <v>183</v>
      </c>
      <c r="L103" s="485">
        <v>1.0</v>
      </c>
      <c r="M103" s="484" t="s">
        <v>184</v>
      </c>
      <c r="N103" s="487"/>
      <c r="O103" s="487"/>
      <c r="P103" s="487"/>
      <c r="Q103" s="413"/>
      <c r="R103" s="413"/>
      <c r="S103" s="413"/>
      <c r="T103" s="413"/>
      <c r="U103" s="413"/>
      <c r="V103" s="413"/>
      <c r="W103" s="413"/>
      <c r="X103" s="413"/>
      <c r="Y103" s="413"/>
      <c r="Z103" s="413"/>
    </row>
    <row r="104" hidden="1">
      <c r="A104" s="483">
        <v>45892.0</v>
      </c>
      <c r="B104" s="484" t="s">
        <v>84</v>
      </c>
      <c r="C104" s="485" t="s">
        <v>70</v>
      </c>
      <c r="D104" s="485" t="s">
        <v>125</v>
      </c>
      <c r="E104" s="485"/>
      <c r="F104" s="485"/>
      <c r="G104" s="485" t="s">
        <v>127</v>
      </c>
      <c r="H104" s="485">
        <v>1.0</v>
      </c>
      <c r="I104" s="486">
        <v>0.008333333333333333</v>
      </c>
      <c r="J104" s="485">
        <v>1.0</v>
      </c>
      <c r="K104" s="484" t="s">
        <v>185</v>
      </c>
      <c r="L104" s="485">
        <v>1.0</v>
      </c>
      <c r="M104" s="484" t="s">
        <v>186</v>
      </c>
      <c r="N104" s="487"/>
      <c r="O104" s="487"/>
      <c r="P104" s="487"/>
      <c r="Q104" s="413"/>
      <c r="R104" s="413"/>
      <c r="S104" s="413"/>
      <c r="T104" s="413"/>
      <c r="U104" s="413"/>
      <c r="V104" s="413"/>
      <c r="W104" s="413"/>
      <c r="X104" s="413"/>
      <c r="Y104" s="413"/>
      <c r="Z104" s="413"/>
    </row>
    <row r="105" hidden="1">
      <c r="A105" s="483">
        <v>45894.0</v>
      </c>
      <c r="B105" s="484" t="s">
        <v>84</v>
      </c>
      <c r="C105" s="485" t="s">
        <v>70</v>
      </c>
      <c r="D105" s="485" t="s">
        <v>125</v>
      </c>
      <c r="E105" s="485"/>
      <c r="F105" s="485"/>
      <c r="G105" s="485" t="s">
        <v>127</v>
      </c>
      <c r="H105" s="485">
        <v>1.0</v>
      </c>
      <c r="I105" s="486">
        <v>0.009722222222222222</v>
      </c>
      <c r="J105" s="485">
        <v>1.0</v>
      </c>
      <c r="K105" s="484" t="s">
        <v>187</v>
      </c>
      <c r="L105" s="485">
        <v>1.0</v>
      </c>
      <c r="M105" s="488" t="s">
        <v>188</v>
      </c>
      <c r="N105" s="487"/>
      <c r="O105" s="487"/>
      <c r="P105" s="487"/>
      <c r="Q105" s="413"/>
      <c r="R105" s="413"/>
      <c r="S105" s="413"/>
      <c r="T105" s="413"/>
      <c r="U105" s="413"/>
      <c r="V105" s="413"/>
      <c r="W105" s="413"/>
      <c r="X105" s="413"/>
      <c r="Y105" s="413"/>
      <c r="Z105" s="413"/>
    </row>
    <row r="106" hidden="1">
      <c r="A106" s="489">
        <v>45894.0</v>
      </c>
      <c r="B106" s="484" t="s">
        <v>84</v>
      </c>
      <c r="C106" s="485" t="s">
        <v>70</v>
      </c>
      <c r="D106" s="485" t="s">
        <v>144</v>
      </c>
      <c r="E106" s="485"/>
      <c r="F106" s="485"/>
      <c r="G106" s="485" t="s">
        <v>127</v>
      </c>
      <c r="H106" s="485">
        <v>1.0</v>
      </c>
      <c r="I106" s="486">
        <v>0.008333333333333333</v>
      </c>
      <c r="J106" s="485">
        <v>1.0</v>
      </c>
      <c r="K106" s="484" t="s">
        <v>189</v>
      </c>
      <c r="L106" s="485">
        <v>1.0</v>
      </c>
      <c r="M106" s="488" t="s">
        <v>190</v>
      </c>
      <c r="N106" s="487"/>
      <c r="O106" s="487"/>
      <c r="P106" s="487"/>
      <c r="Q106" s="413"/>
      <c r="R106" s="413"/>
      <c r="S106" s="413"/>
      <c r="T106" s="413"/>
      <c r="U106" s="413"/>
      <c r="V106" s="413"/>
      <c r="W106" s="413"/>
      <c r="X106" s="413"/>
      <c r="Y106" s="413"/>
      <c r="Z106" s="413"/>
    </row>
    <row r="107" hidden="1">
      <c r="A107" s="489">
        <v>45895.0</v>
      </c>
      <c r="B107" s="484" t="s">
        <v>71</v>
      </c>
      <c r="C107" s="485" t="s">
        <v>70</v>
      </c>
      <c r="D107" s="485" t="s">
        <v>125</v>
      </c>
      <c r="E107" s="485"/>
      <c r="F107" s="485"/>
      <c r="G107" s="485" t="s">
        <v>127</v>
      </c>
      <c r="H107" s="485">
        <v>1.0</v>
      </c>
      <c r="I107" s="486">
        <v>0.006944444444444444</v>
      </c>
      <c r="J107" s="485">
        <v>1.0</v>
      </c>
      <c r="K107" s="484" t="s">
        <v>191</v>
      </c>
      <c r="L107" s="485">
        <v>1.0</v>
      </c>
      <c r="M107" s="488" t="s">
        <v>192</v>
      </c>
      <c r="N107" s="487"/>
      <c r="O107" s="487"/>
      <c r="P107" s="487"/>
      <c r="Q107" s="413"/>
      <c r="R107" s="413"/>
      <c r="S107" s="413"/>
      <c r="T107" s="413"/>
      <c r="U107" s="413"/>
      <c r="V107" s="413"/>
      <c r="W107" s="413"/>
      <c r="X107" s="413"/>
      <c r="Y107" s="413"/>
      <c r="Z107" s="413"/>
    </row>
    <row r="108" hidden="1">
      <c r="A108" s="489">
        <v>45895.0</v>
      </c>
      <c r="B108" s="484" t="s">
        <v>84</v>
      </c>
      <c r="C108" s="485" t="s">
        <v>70</v>
      </c>
      <c r="D108" s="485" t="s">
        <v>144</v>
      </c>
      <c r="E108" s="485"/>
      <c r="F108" s="485"/>
      <c r="G108" s="485" t="s">
        <v>127</v>
      </c>
      <c r="H108" s="485">
        <v>1.0</v>
      </c>
      <c r="I108" s="486">
        <v>0.008333333333333333</v>
      </c>
      <c r="J108" s="485">
        <v>1.0</v>
      </c>
      <c r="K108" s="484" t="s">
        <v>193</v>
      </c>
      <c r="L108" s="485">
        <v>1.0</v>
      </c>
      <c r="M108" s="488" t="s">
        <v>194</v>
      </c>
      <c r="N108" s="487"/>
      <c r="O108" s="487"/>
      <c r="P108" s="487"/>
      <c r="Q108" s="413"/>
      <c r="R108" s="413"/>
      <c r="S108" s="413"/>
      <c r="T108" s="413"/>
      <c r="U108" s="413"/>
      <c r="V108" s="413"/>
      <c r="W108" s="413"/>
      <c r="X108" s="413"/>
      <c r="Y108" s="413"/>
      <c r="Z108" s="413"/>
    </row>
    <row r="109" hidden="1">
      <c r="A109" s="489">
        <v>45896.0</v>
      </c>
      <c r="B109" s="484" t="s">
        <v>71</v>
      </c>
      <c r="C109" s="485" t="s">
        <v>70</v>
      </c>
      <c r="D109" s="485" t="s">
        <v>125</v>
      </c>
      <c r="E109" s="485"/>
      <c r="F109" s="485"/>
      <c r="G109" s="485" t="s">
        <v>127</v>
      </c>
      <c r="H109" s="485">
        <v>1.0</v>
      </c>
      <c r="I109" s="486">
        <v>0.005555555555555556</v>
      </c>
      <c r="J109" s="485">
        <v>1.0</v>
      </c>
      <c r="K109" s="484" t="s">
        <v>195</v>
      </c>
      <c r="L109" s="485">
        <v>1.0</v>
      </c>
      <c r="M109" s="488" t="s">
        <v>196</v>
      </c>
      <c r="N109" s="487"/>
      <c r="O109" s="487"/>
      <c r="P109" s="487"/>
      <c r="Q109" s="413"/>
      <c r="R109" s="413"/>
      <c r="S109" s="413"/>
      <c r="T109" s="413"/>
      <c r="U109" s="413"/>
      <c r="V109" s="413"/>
      <c r="W109" s="413"/>
      <c r="X109" s="413"/>
      <c r="Y109" s="413"/>
      <c r="Z109" s="413"/>
    </row>
    <row r="110" hidden="1">
      <c r="A110" s="489">
        <v>45896.0</v>
      </c>
      <c r="B110" s="484" t="s">
        <v>71</v>
      </c>
      <c r="C110" s="485" t="s">
        <v>70</v>
      </c>
      <c r="D110" s="485" t="s">
        <v>125</v>
      </c>
      <c r="E110" s="485"/>
      <c r="F110" s="485"/>
      <c r="G110" s="485" t="s">
        <v>129</v>
      </c>
      <c r="H110" s="485">
        <v>1.0</v>
      </c>
      <c r="I110" s="486">
        <v>0.006944444444444444</v>
      </c>
      <c r="J110" s="485">
        <v>1.0</v>
      </c>
      <c r="K110" s="484" t="s">
        <v>197</v>
      </c>
      <c r="L110" s="485">
        <v>1.0</v>
      </c>
      <c r="M110" s="488" t="s">
        <v>176</v>
      </c>
      <c r="N110" s="487"/>
      <c r="O110" s="487"/>
      <c r="P110" s="487"/>
      <c r="Q110" s="413"/>
      <c r="R110" s="413"/>
      <c r="S110" s="413"/>
      <c r="T110" s="413"/>
      <c r="U110" s="413"/>
      <c r="V110" s="413"/>
      <c r="W110" s="413"/>
      <c r="X110" s="413"/>
      <c r="Y110" s="413"/>
      <c r="Z110" s="413"/>
    </row>
    <row r="111" hidden="1">
      <c r="A111" s="483">
        <v>45870.0</v>
      </c>
      <c r="B111" s="484" t="s">
        <v>71</v>
      </c>
      <c r="C111" s="455" t="s">
        <v>70</v>
      </c>
      <c r="D111" s="455" t="s">
        <v>125</v>
      </c>
      <c r="E111" s="439"/>
      <c r="F111" s="439"/>
      <c r="G111" s="455" t="s">
        <v>127</v>
      </c>
      <c r="H111" s="455">
        <v>1.0</v>
      </c>
      <c r="I111" s="486">
        <v>0.005555555555555556</v>
      </c>
      <c r="J111" s="459"/>
      <c r="K111" s="458"/>
      <c r="L111" s="455">
        <v>1.0</v>
      </c>
      <c r="M111" s="461" t="s">
        <v>198</v>
      </c>
      <c r="N111" s="413"/>
      <c r="O111" s="413"/>
      <c r="P111" s="413"/>
      <c r="Q111" s="413"/>
      <c r="R111" s="413"/>
      <c r="S111" s="413"/>
      <c r="T111" s="413"/>
      <c r="U111" s="413"/>
      <c r="V111" s="413"/>
      <c r="W111" s="413"/>
      <c r="X111" s="413"/>
      <c r="Y111" s="413"/>
      <c r="Z111" s="413"/>
    </row>
    <row r="112" hidden="1">
      <c r="A112" s="483">
        <v>45870.0</v>
      </c>
      <c r="B112" s="484" t="s">
        <v>71</v>
      </c>
      <c r="C112" s="455" t="s">
        <v>70</v>
      </c>
      <c r="D112" s="455" t="s">
        <v>125</v>
      </c>
      <c r="E112" s="439"/>
      <c r="F112" s="439"/>
      <c r="G112" s="455" t="s">
        <v>127</v>
      </c>
      <c r="H112" s="455">
        <v>1.0</v>
      </c>
      <c r="I112" s="486">
        <v>0.005555555555555556</v>
      </c>
      <c r="J112" s="459"/>
      <c r="K112" s="458"/>
      <c r="L112" s="455">
        <v>1.0</v>
      </c>
      <c r="M112" s="461" t="s">
        <v>198</v>
      </c>
      <c r="N112" s="413"/>
      <c r="O112" s="413"/>
      <c r="P112" s="413"/>
      <c r="Q112" s="413"/>
      <c r="R112" s="413"/>
      <c r="S112" s="413"/>
      <c r="T112" s="413"/>
      <c r="U112" s="413"/>
      <c r="V112" s="413"/>
      <c r="W112" s="413"/>
      <c r="X112" s="413"/>
      <c r="Y112" s="413"/>
      <c r="Z112" s="413"/>
    </row>
    <row r="113" hidden="1">
      <c r="A113" s="483">
        <v>45870.0</v>
      </c>
      <c r="B113" s="484" t="s">
        <v>84</v>
      </c>
      <c r="C113" s="455" t="s">
        <v>70</v>
      </c>
      <c r="D113" s="455" t="s">
        <v>144</v>
      </c>
      <c r="E113" s="439"/>
      <c r="F113" s="439"/>
      <c r="G113" s="455" t="s">
        <v>127</v>
      </c>
      <c r="H113" s="455">
        <v>1.0</v>
      </c>
      <c r="I113" s="486">
        <v>0.006944444444444444</v>
      </c>
      <c r="J113" s="459"/>
      <c r="K113" s="458"/>
      <c r="L113" s="455">
        <v>1.0</v>
      </c>
      <c r="M113" s="461" t="s">
        <v>198</v>
      </c>
      <c r="N113" s="413"/>
      <c r="O113" s="413"/>
      <c r="P113" s="413"/>
      <c r="Q113" s="413"/>
      <c r="R113" s="413"/>
      <c r="S113" s="413"/>
      <c r="T113" s="413"/>
      <c r="U113" s="413"/>
      <c r="V113" s="413"/>
      <c r="W113" s="413"/>
      <c r="X113" s="413"/>
      <c r="Y113" s="413"/>
      <c r="Z113" s="413"/>
    </row>
    <row r="114" hidden="1">
      <c r="A114" s="489">
        <v>45871.0</v>
      </c>
      <c r="B114" s="484" t="s">
        <v>83</v>
      </c>
      <c r="C114" s="455" t="s">
        <v>70</v>
      </c>
      <c r="D114" s="455" t="s">
        <v>144</v>
      </c>
      <c r="E114" s="439"/>
      <c r="F114" s="439"/>
      <c r="G114" s="455" t="s">
        <v>134</v>
      </c>
      <c r="H114" s="455">
        <v>1.0</v>
      </c>
      <c r="I114" s="490">
        <v>0.014583333333333334</v>
      </c>
      <c r="J114" s="459"/>
      <c r="K114" s="458"/>
      <c r="L114" s="454"/>
      <c r="M114" s="491" t="s">
        <v>199</v>
      </c>
      <c r="N114" s="413"/>
      <c r="O114" s="413"/>
      <c r="P114" s="413"/>
      <c r="Q114" s="413"/>
      <c r="R114" s="413"/>
      <c r="S114" s="413"/>
      <c r="T114" s="413"/>
      <c r="U114" s="413"/>
      <c r="V114" s="413"/>
      <c r="W114" s="413"/>
      <c r="X114" s="413"/>
      <c r="Y114" s="413"/>
      <c r="Z114" s="413"/>
    </row>
    <row r="115" hidden="1">
      <c r="A115" s="489">
        <v>45871.0</v>
      </c>
      <c r="B115" s="484" t="s">
        <v>71</v>
      </c>
      <c r="C115" s="455" t="s">
        <v>70</v>
      </c>
      <c r="D115" s="455" t="s">
        <v>125</v>
      </c>
      <c r="E115" s="439"/>
      <c r="F115" s="439"/>
      <c r="G115" s="455" t="s">
        <v>127</v>
      </c>
      <c r="H115" s="455">
        <v>1.0</v>
      </c>
      <c r="I115" s="486">
        <v>0.005555555555555556</v>
      </c>
      <c r="J115" s="459"/>
      <c r="K115" s="458"/>
      <c r="L115" s="455">
        <v>1.0</v>
      </c>
      <c r="M115" s="491" t="s">
        <v>198</v>
      </c>
      <c r="N115" s="413"/>
      <c r="O115" s="413"/>
      <c r="P115" s="413"/>
      <c r="Q115" s="413"/>
      <c r="R115" s="413"/>
      <c r="S115" s="413"/>
      <c r="T115" s="413"/>
      <c r="U115" s="413"/>
      <c r="V115" s="413"/>
      <c r="W115" s="413"/>
      <c r="X115" s="413"/>
      <c r="Y115" s="413"/>
      <c r="Z115" s="413"/>
    </row>
    <row r="116" hidden="1">
      <c r="A116" s="489">
        <v>45871.0</v>
      </c>
      <c r="B116" s="484" t="s">
        <v>84</v>
      </c>
      <c r="C116" s="455" t="s">
        <v>70</v>
      </c>
      <c r="D116" s="455" t="s">
        <v>125</v>
      </c>
      <c r="E116" s="439"/>
      <c r="F116" s="439"/>
      <c r="G116" s="455" t="s">
        <v>127</v>
      </c>
      <c r="H116" s="455">
        <v>1.0</v>
      </c>
      <c r="I116" s="486">
        <v>0.006944444444444444</v>
      </c>
      <c r="J116" s="459"/>
      <c r="K116" s="458"/>
      <c r="L116" s="455">
        <v>1.0</v>
      </c>
      <c r="M116" s="491" t="s">
        <v>198</v>
      </c>
      <c r="N116" s="413"/>
      <c r="O116" s="413"/>
      <c r="P116" s="413"/>
      <c r="Q116" s="413"/>
      <c r="R116" s="413"/>
      <c r="S116" s="413"/>
      <c r="T116" s="413"/>
      <c r="U116" s="413"/>
      <c r="V116" s="413"/>
      <c r="W116" s="413"/>
      <c r="X116" s="413"/>
      <c r="Y116" s="413"/>
      <c r="Z116" s="413"/>
    </row>
    <row r="117" hidden="1">
      <c r="A117" s="492">
        <v>45907.0</v>
      </c>
      <c r="B117" s="461" t="s">
        <v>83</v>
      </c>
      <c r="C117" s="455" t="s">
        <v>70</v>
      </c>
      <c r="D117" s="455" t="s">
        <v>125</v>
      </c>
      <c r="E117" s="439"/>
      <c r="F117" s="439"/>
      <c r="G117" s="455" t="s">
        <v>134</v>
      </c>
      <c r="H117" s="455">
        <v>1.0</v>
      </c>
      <c r="I117" s="490">
        <v>0.009722222222222222</v>
      </c>
      <c r="J117" s="459"/>
      <c r="K117" s="458"/>
      <c r="L117" s="455"/>
      <c r="M117" s="461" t="s">
        <v>199</v>
      </c>
      <c r="N117" s="413"/>
      <c r="O117" s="413"/>
      <c r="P117" s="413"/>
      <c r="Q117" s="413"/>
      <c r="R117" s="413"/>
      <c r="S117" s="413"/>
      <c r="T117" s="413"/>
      <c r="U117" s="413"/>
      <c r="V117" s="413"/>
      <c r="W117" s="413"/>
      <c r="X117" s="413"/>
      <c r="Y117" s="413"/>
      <c r="Z117" s="413"/>
    </row>
    <row r="118" hidden="1">
      <c r="A118" s="492">
        <v>45909.0</v>
      </c>
      <c r="B118" s="461" t="s">
        <v>83</v>
      </c>
      <c r="C118" s="455" t="s">
        <v>70</v>
      </c>
      <c r="D118" s="455" t="s">
        <v>125</v>
      </c>
      <c r="E118" s="439"/>
      <c r="F118" s="439"/>
      <c r="G118" s="455" t="s">
        <v>134</v>
      </c>
      <c r="H118" s="455">
        <v>1.0</v>
      </c>
      <c r="I118" s="490">
        <v>0.01875</v>
      </c>
      <c r="J118" s="459"/>
      <c r="K118" s="458"/>
      <c r="L118" s="454"/>
      <c r="M118" s="461" t="s">
        <v>200</v>
      </c>
      <c r="N118" s="413"/>
      <c r="O118" s="413"/>
      <c r="P118" s="413"/>
      <c r="Q118" s="413"/>
      <c r="R118" s="413"/>
      <c r="S118" s="413"/>
      <c r="T118" s="413"/>
      <c r="U118" s="413"/>
      <c r="V118" s="413"/>
      <c r="W118" s="413"/>
      <c r="X118" s="413"/>
      <c r="Y118" s="413"/>
      <c r="Z118" s="413"/>
    </row>
    <row r="119" hidden="1">
      <c r="A119" s="492">
        <v>45909.0</v>
      </c>
      <c r="B119" s="461" t="s">
        <v>86</v>
      </c>
      <c r="C119" s="455" t="s">
        <v>87</v>
      </c>
      <c r="D119" s="455" t="s">
        <v>131</v>
      </c>
      <c r="E119" s="439"/>
      <c r="F119" s="439"/>
      <c r="G119" s="455" t="s">
        <v>134</v>
      </c>
      <c r="H119" s="455">
        <v>2.0</v>
      </c>
      <c r="I119" s="490">
        <v>0.024305555555555556</v>
      </c>
      <c r="J119" s="459"/>
      <c r="K119" s="458"/>
      <c r="L119" s="454"/>
      <c r="M119" s="461"/>
      <c r="N119" s="413"/>
      <c r="O119" s="413"/>
      <c r="P119" s="413"/>
      <c r="Q119" s="413"/>
      <c r="R119" s="413"/>
      <c r="S119" s="413"/>
      <c r="T119" s="413"/>
      <c r="U119" s="413"/>
      <c r="V119" s="413"/>
      <c r="W119" s="413"/>
      <c r="X119" s="413"/>
      <c r="Y119" s="413"/>
      <c r="Z119" s="413"/>
    </row>
    <row r="120" hidden="1">
      <c r="A120" s="492">
        <v>45909.0</v>
      </c>
      <c r="B120" s="461" t="s">
        <v>71</v>
      </c>
      <c r="C120" s="455" t="s">
        <v>70</v>
      </c>
      <c r="D120" s="455" t="s">
        <v>125</v>
      </c>
      <c r="E120" s="439"/>
      <c r="F120" s="439"/>
      <c r="G120" s="455" t="s">
        <v>127</v>
      </c>
      <c r="H120" s="455">
        <v>1.0</v>
      </c>
      <c r="I120" s="490">
        <v>0.005555555555555556</v>
      </c>
      <c r="J120" s="459"/>
      <c r="K120" s="458"/>
      <c r="L120" s="455">
        <v>1.0</v>
      </c>
      <c r="M120" s="461" t="s">
        <v>198</v>
      </c>
      <c r="N120" s="413"/>
      <c r="O120" s="413"/>
      <c r="P120" s="413"/>
      <c r="Q120" s="413"/>
      <c r="R120" s="413"/>
      <c r="S120" s="413"/>
      <c r="T120" s="413"/>
      <c r="U120" s="413"/>
      <c r="V120" s="413"/>
      <c r="W120" s="413"/>
      <c r="X120" s="413"/>
      <c r="Y120" s="413"/>
      <c r="Z120" s="413"/>
    </row>
    <row r="121" hidden="1">
      <c r="A121" s="492">
        <v>45909.0</v>
      </c>
      <c r="B121" s="461" t="s">
        <v>84</v>
      </c>
      <c r="C121" s="455" t="s">
        <v>70</v>
      </c>
      <c r="D121" s="455" t="s">
        <v>125</v>
      </c>
      <c r="E121" s="439"/>
      <c r="F121" s="439"/>
      <c r="G121" s="455" t="s">
        <v>127</v>
      </c>
      <c r="H121" s="455">
        <v>1.0</v>
      </c>
      <c r="I121" s="490">
        <v>0.006944444444444444</v>
      </c>
      <c r="J121" s="459"/>
      <c r="K121" s="458"/>
      <c r="L121" s="455">
        <v>1.0</v>
      </c>
      <c r="M121" s="461" t="s">
        <v>198</v>
      </c>
      <c r="N121" s="413"/>
      <c r="O121" s="413"/>
      <c r="P121" s="413"/>
      <c r="Q121" s="413"/>
      <c r="R121" s="413"/>
      <c r="S121" s="413"/>
      <c r="T121" s="413"/>
      <c r="U121" s="413"/>
      <c r="V121" s="413"/>
      <c r="W121" s="413"/>
      <c r="X121" s="413"/>
      <c r="Y121" s="413"/>
      <c r="Z121" s="413"/>
    </row>
    <row r="122" hidden="1">
      <c r="A122" s="492">
        <v>45911.0</v>
      </c>
      <c r="B122" s="461" t="s">
        <v>83</v>
      </c>
      <c r="C122" s="455" t="s">
        <v>70</v>
      </c>
      <c r="D122" s="455" t="s">
        <v>125</v>
      </c>
      <c r="E122" s="439"/>
      <c r="F122" s="439"/>
      <c r="G122" s="455" t="s">
        <v>134</v>
      </c>
      <c r="H122" s="455">
        <v>3.0</v>
      </c>
      <c r="I122" s="490">
        <v>0.12222222222222222</v>
      </c>
      <c r="J122" s="459"/>
      <c r="K122" s="458"/>
      <c r="L122" s="455">
        <v>0.0</v>
      </c>
      <c r="M122" s="461" t="s">
        <v>201</v>
      </c>
      <c r="N122" s="413"/>
      <c r="O122" s="413"/>
      <c r="P122" s="413"/>
      <c r="Q122" s="413"/>
      <c r="R122" s="413"/>
      <c r="S122" s="413"/>
      <c r="T122" s="413"/>
      <c r="U122" s="413"/>
      <c r="V122" s="413"/>
      <c r="W122" s="413"/>
      <c r="X122" s="413"/>
      <c r="Y122" s="413"/>
      <c r="Z122" s="413"/>
    </row>
    <row r="123" hidden="1">
      <c r="A123" s="492">
        <v>45916.0</v>
      </c>
      <c r="B123" s="461" t="s">
        <v>83</v>
      </c>
      <c r="C123" s="455" t="s">
        <v>70</v>
      </c>
      <c r="D123" s="455" t="s">
        <v>125</v>
      </c>
      <c r="E123" s="439"/>
      <c r="F123" s="439"/>
      <c r="G123" s="455" t="s">
        <v>134</v>
      </c>
      <c r="H123" s="455">
        <v>2.0</v>
      </c>
      <c r="I123" s="490">
        <v>0.029861111111111113</v>
      </c>
      <c r="J123" s="459"/>
      <c r="K123" s="458"/>
      <c r="L123" s="454"/>
      <c r="M123" s="461" t="s">
        <v>202</v>
      </c>
      <c r="N123" s="413"/>
      <c r="O123" s="413"/>
      <c r="P123" s="413"/>
      <c r="Q123" s="413"/>
      <c r="R123" s="413"/>
      <c r="S123" s="413"/>
      <c r="T123" s="413"/>
      <c r="U123" s="413"/>
      <c r="V123" s="413"/>
      <c r="W123" s="413"/>
      <c r="X123" s="413"/>
      <c r="Y123" s="413"/>
      <c r="Z123" s="413"/>
    </row>
    <row r="124" hidden="1">
      <c r="A124" s="493"/>
      <c r="B124" s="494"/>
      <c r="C124" s="455"/>
      <c r="D124" s="455"/>
      <c r="E124" s="439"/>
      <c r="F124" s="439"/>
      <c r="G124" s="455"/>
      <c r="H124" s="455"/>
      <c r="I124" s="495"/>
      <c r="J124" s="459"/>
      <c r="K124" s="458"/>
      <c r="L124" s="454"/>
      <c r="M124" s="453"/>
      <c r="N124" s="413"/>
      <c r="O124" s="413"/>
      <c r="P124" s="413"/>
      <c r="Q124" s="413"/>
      <c r="R124" s="413"/>
      <c r="S124" s="413"/>
      <c r="T124" s="413"/>
      <c r="U124" s="413"/>
      <c r="V124" s="413"/>
      <c r="W124" s="413"/>
      <c r="X124" s="413"/>
      <c r="Y124" s="413"/>
      <c r="Z124" s="413"/>
    </row>
    <row r="125" hidden="1">
      <c r="A125" s="493">
        <v>45919.0</v>
      </c>
      <c r="B125" s="461" t="s">
        <v>84</v>
      </c>
      <c r="C125" s="455" t="s">
        <v>70</v>
      </c>
      <c r="D125" s="455" t="s">
        <v>125</v>
      </c>
      <c r="E125" s="439"/>
      <c r="F125" s="439"/>
      <c r="G125" s="455" t="s">
        <v>127</v>
      </c>
      <c r="H125" s="455">
        <v>1.0</v>
      </c>
      <c r="I125" s="495">
        <v>0.006944444444444444</v>
      </c>
      <c r="J125" s="459"/>
      <c r="K125" s="458"/>
      <c r="L125" s="455">
        <v>1.0</v>
      </c>
      <c r="M125" s="461" t="s">
        <v>203</v>
      </c>
      <c r="N125" s="413"/>
      <c r="O125" s="413"/>
      <c r="P125" s="413"/>
      <c r="Q125" s="413"/>
      <c r="R125" s="413"/>
      <c r="S125" s="413"/>
      <c r="T125" s="413"/>
      <c r="U125" s="413"/>
      <c r="V125" s="413"/>
      <c r="W125" s="413"/>
      <c r="X125" s="413"/>
      <c r="Y125" s="413"/>
      <c r="Z125" s="413"/>
    </row>
    <row r="126" hidden="1">
      <c r="A126" s="493">
        <v>45919.0</v>
      </c>
      <c r="B126" s="461" t="s">
        <v>84</v>
      </c>
      <c r="C126" s="455" t="s">
        <v>70</v>
      </c>
      <c r="D126" s="455" t="s">
        <v>125</v>
      </c>
      <c r="E126" s="439"/>
      <c r="F126" s="439"/>
      <c r="G126" s="455" t="s">
        <v>134</v>
      </c>
      <c r="H126" s="455">
        <v>2.0</v>
      </c>
      <c r="I126" s="495">
        <v>0.06041666666666667</v>
      </c>
      <c r="J126" s="459"/>
      <c r="K126" s="458"/>
      <c r="L126" s="454"/>
      <c r="M126" s="461" t="s">
        <v>204</v>
      </c>
      <c r="N126" s="413"/>
      <c r="O126" s="413"/>
      <c r="P126" s="413"/>
      <c r="Q126" s="413"/>
      <c r="R126" s="413"/>
      <c r="S126" s="413"/>
      <c r="T126" s="413"/>
      <c r="U126" s="413"/>
      <c r="V126" s="413"/>
      <c r="W126" s="413"/>
      <c r="X126" s="413"/>
      <c r="Y126" s="413"/>
      <c r="Z126" s="413"/>
    </row>
    <row r="127" hidden="1">
      <c r="A127" s="493">
        <v>45920.0</v>
      </c>
      <c r="B127" s="461" t="s">
        <v>77</v>
      </c>
      <c r="C127" s="455" t="s">
        <v>78</v>
      </c>
      <c r="D127" s="455" t="s">
        <v>131</v>
      </c>
      <c r="E127" s="439"/>
      <c r="F127" s="439"/>
      <c r="G127" s="455" t="s">
        <v>129</v>
      </c>
      <c r="H127" s="455">
        <v>1.0</v>
      </c>
      <c r="I127" s="495">
        <v>0.03194444444444444</v>
      </c>
      <c r="J127" s="459"/>
      <c r="K127" s="458"/>
      <c r="L127" s="455">
        <v>0.0</v>
      </c>
      <c r="M127" s="461" t="s">
        <v>205</v>
      </c>
      <c r="N127" s="413"/>
      <c r="O127" s="413"/>
      <c r="P127" s="413"/>
      <c r="Q127" s="413"/>
      <c r="R127" s="413"/>
      <c r="S127" s="413"/>
      <c r="T127" s="413"/>
      <c r="U127" s="413"/>
      <c r="V127" s="413"/>
      <c r="W127" s="413"/>
      <c r="X127" s="413"/>
      <c r="Y127" s="413"/>
      <c r="Z127" s="413"/>
    </row>
    <row r="128" hidden="1">
      <c r="A128" s="496">
        <v>45913.0</v>
      </c>
      <c r="B128" s="461" t="s">
        <v>86</v>
      </c>
      <c r="C128" s="455" t="s">
        <v>87</v>
      </c>
      <c r="D128" s="455" t="s">
        <v>131</v>
      </c>
      <c r="E128" s="439"/>
      <c r="F128" s="439"/>
      <c r="G128" s="455" t="s">
        <v>129</v>
      </c>
      <c r="H128" s="455">
        <v>1.0</v>
      </c>
      <c r="I128" s="497">
        <v>0.013194444444444444</v>
      </c>
      <c r="J128" s="459"/>
      <c r="K128" s="458"/>
      <c r="L128" s="454"/>
      <c r="M128" s="453"/>
      <c r="N128" s="413"/>
      <c r="O128" s="413"/>
      <c r="P128" s="413"/>
      <c r="Q128" s="413"/>
      <c r="R128" s="413"/>
      <c r="S128" s="413"/>
      <c r="T128" s="413"/>
      <c r="U128" s="413"/>
      <c r="V128" s="413"/>
      <c r="W128" s="413"/>
      <c r="X128" s="413"/>
      <c r="Y128" s="413"/>
      <c r="Z128" s="413"/>
    </row>
    <row r="129" hidden="1">
      <c r="A129" s="496">
        <v>45914.0</v>
      </c>
      <c r="B129" s="461" t="s">
        <v>86</v>
      </c>
      <c r="C129" s="455" t="s">
        <v>87</v>
      </c>
      <c r="D129" s="455" t="s">
        <v>125</v>
      </c>
      <c r="E129" s="439"/>
      <c r="F129" s="439"/>
      <c r="G129" s="455" t="s">
        <v>129</v>
      </c>
      <c r="H129" s="455">
        <v>1.0</v>
      </c>
      <c r="I129" s="497">
        <v>0.02013888888888889</v>
      </c>
      <c r="J129" s="459"/>
      <c r="K129" s="458"/>
      <c r="L129" s="454"/>
      <c r="M129" s="453"/>
      <c r="N129" s="413"/>
      <c r="O129" s="413"/>
      <c r="P129" s="413"/>
      <c r="Q129" s="413"/>
      <c r="R129" s="413"/>
      <c r="S129" s="413"/>
      <c r="T129" s="413"/>
      <c r="U129" s="413"/>
      <c r="V129" s="413"/>
      <c r="W129" s="413"/>
      <c r="X129" s="413"/>
      <c r="Y129" s="413"/>
      <c r="Z129" s="413"/>
    </row>
    <row r="130" hidden="1">
      <c r="A130" s="492">
        <v>45922.0</v>
      </c>
      <c r="B130" s="461" t="s">
        <v>83</v>
      </c>
      <c r="C130" s="455" t="s">
        <v>70</v>
      </c>
      <c r="D130" s="455" t="s">
        <v>125</v>
      </c>
      <c r="E130" s="439"/>
      <c r="F130" s="439"/>
      <c r="G130" s="455" t="s">
        <v>134</v>
      </c>
      <c r="H130" s="455">
        <v>3.0</v>
      </c>
      <c r="I130" s="490">
        <v>0.22916666666666666</v>
      </c>
      <c r="J130" s="459"/>
      <c r="K130" s="458"/>
      <c r="L130" s="454"/>
      <c r="M130" s="461" t="s">
        <v>206</v>
      </c>
      <c r="N130" s="413"/>
      <c r="O130" s="413"/>
      <c r="P130" s="413"/>
      <c r="Q130" s="413"/>
      <c r="R130" s="413"/>
      <c r="S130" s="413"/>
      <c r="T130" s="413"/>
      <c r="U130" s="413"/>
      <c r="V130" s="413"/>
      <c r="W130" s="413"/>
      <c r="X130" s="413"/>
      <c r="Y130" s="413"/>
      <c r="Z130" s="413"/>
    </row>
    <row r="131" hidden="1">
      <c r="A131" s="492">
        <v>45922.0</v>
      </c>
      <c r="B131" s="461" t="s">
        <v>71</v>
      </c>
      <c r="C131" s="455" t="s">
        <v>70</v>
      </c>
      <c r="D131" s="455" t="s">
        <v>125</v>
      </c>
      <c r="E131" s="439"/>
      <c r="F131" s="439"/>
      <c r="G131" s="455" t="s">
        <v>127</v>
      </c>
      <c r="H131" s="455">
        <v>1.0</v>
      </c>
      <c r="I131" s="497">
        <v>0.004166666666666667</v>
      </c>
      <c r="J131" s="459"/>
      <c r="K131" s="458"/>
      <c r="L131" s="455">
        <v>1.0</v>
      </c>
      <c r="M131" s="491" t="s">
        <v>207</v>
      </c>
      <c r="N131" s="413"/>
      <c r="O131" s="413"/>
      <c r="P131" s="413"/>
      <c r="Q131" s="413"/>
      <c r="R131" s="413"/>
      <c r="S131" s="413"/>
      <c r="T131" s="413"/>
      <c r="U131" s="413"/>
      <c r="V131" s="413"/>
      <c r="W131" s="413"/>
      <c r="X131" s="413"/>
      <c r="Y131" s="413"/>
      <c r="Z131" s="413"/>
    </row>
    <row r="132" hidden="1">
      <c r="A132" s="492">
        <v>45925.0</v>
      </c>
      <c r="B132" s="461" t="s">
        <v>71</v>
      </c>
      <c r="C132" s="455" t="s">
        <v>70</v>
      </c>
      <c r="D132" s="455" t="s">
        <v>144</v>
      </c>
      <c r="E132" s="439"/>
      <c r="F132" s="439"/>
      <c r="G132" s="455" t="s">
        <v>134</v>
      </c>
      <c r="H132" s="455">
        <v>1.0</v>
      </c>
      <c r="I132" s="497">
        <v>0.00625</v>
      </c>
      <c r="J132" s="459"/>
      <c r="K132" s="458"/>
      <c r="L132" s="454"/>
      <c r="M132" s="491" t="s">
        <v>198</v>
      </c>
      <c r="N132" s="413"/>
      <c r="O132" s="413"/>
      <c r="P132" s="413"/>
      <c r="Q132" s="413"/>
      <c r="R132" s="413"/>
      <c r="S132" s="413"/>
      <c r="T132" s="413"/>
      <c r="U132" s="413"/>
      <c r="V132" s="413"/>
      <c r="W132" s="413"/>
      <c r="X132" s="413"/>
      <c r="Y132" s="413"/>
      <c r="Z132" s="413"/>
    </row>
    <row r="133" hidden="1">
      <c r="A133" s="492">
        <v>45925.0</v>
      </c>
      <c r="B133" s="461" t="s">
        <v>71</v>
      </c>
      <c r="C133" s="455" t="s">
        <v>70</v>
      </c>
      <c r="D133" s="455" t="s">
        <v>125</v>
      </c>
      <c r="E133" s="439"/>
      <c r="F133" s="439"/>
      <c r="G133" s="455" t="s">
        <v>127</v>
      </c>
      <c r="H133" s="455">
        <v>1.0</v>
      </c>
      <c r="I133" s="497">
        <v>0.0625</v>
      </c>
      <c r="J133" s="459"/>
      <c r="K133" s="458"/>
      <c r="L133" s="455">
        <v>1.0</v>
      </c>
      <c r="M133" s="491" t="s">
        <v>208</v>
      </c>
      <c r="N133" s="413"/>
      <c r="O133" s="413"/>
      <c r="P133" s="413"/>
      <c r="Q133" s="413"/>
      <c r="R133" s="413"/>
      <c r="S133" s="413"/>
      <c r="T133" s="413"/>
      <c r="U133" s="413"/>
      <c r="V133" s="413"/>
      <c r="W133" s="413"/>
      <c r="X133" s="413"/>
      <c r="Y133" s="413"/>
      <c r="Z133" s="413"/>
    </row>
    <row r="134" hidden="1">
      <c r="A134" s="492">
        <v>45929.0</v>
      </c>
      <c r="B134" s="461" t="s">
        <v>77</v>
      </c>
      <c r="C134" s="455" t="s">
        <v>70</v>
      </c>
      <c r="D134" s="455" t="s">
        <v>125</v>
      </c>
      <c r="E134" s="439"/>
      <c r="F134" s="439"/>
      <c r="G134" s="455" t="s">
        <v>134</v>
      </c>
      <c r="H134" s="455">
        <v>6.0</v>
      </c>
      <c r="I134" s="497">
        <v>0.0375</v>
      </c>
      <c r="J134" s="459"/>
      <c r="K134" s="458"/>
      <c r="L134" s="455"/>
      <c r="M134" s="491"/>
      <c r="N134" s="413"/>
      <c r="O134" s="413"/>
      <c r="P134" s="413"/>
      <c r="Q134" s="413"/>
      <c r="R134" s="413"/>
      <c r="S134" s="413"/>
      <c r="T134" s="413"/>
      <c r="U134" s="413"/>
      <c r="V134" s="413"/>
      <c r="W134" s="413"/>
      <c r="X134" s="413"/>
      <c r="Y134" s="413"/>
      <c r="Z134" s="413"/>
    </row>
    <row r="135" hidden="1">
      <c r="A135" s="492">
        <v>45930.0</v>
      </c>
      <c r="B135" s="461" t="s">
        <v>83</v>
      </c>
      <c r="C135" s="455" t="s">
        <v>70</v>
      </c>
      <c r="D135" s="455" t="s">
        <v>125</v>
      </c>
      <c r="E135" s="439"/>
      <c r="F135" s="439"/>
      <c r="G135" s="455" t="s">
        <v>134</v>
      </c>
      <c r="H135" s="455">
        <v>2.0</v>
      </c>
      <c r="I135" s="490">
        <v>0.035416666666666666</v>
      </c>
      <c r="J135" s="459"/>
      <c r="K135" s="458"/>
      <c r="L135" s="454"/>
      <c r="M135" s="461" t="s">
        <v>209</v>
      </c>
      <c r="N135" s="413"/>
      <c r="O135" s="413"/>
      <c r="P135" s="413"/>
      <c r="Q135" s="413"/>
      <c r="R135" s="413"/>
      <c r="S135" s="413"/>
      <c r="T135" s="413"/>
      <c r="U135" s="413"/>
      <c r="V135" s="413"/>
      <c r="W135" s="413"/>
      <c r="X135" s="413"/>
      <c r="Y135" s="413"/>
      <c r="Z135" s="413"/>
    </row>
    <row r="136" hidden="1">
      <c r="A136" s="493">
        <v>45933.0</v>
      </c>
      <c r="B136" s="461" t="s">
        <v>71</v>
      </c>
      <c r="C136" s="455" t="s">
        <v>70</v>
      </c>
      <c r="D136" s="455" t="s">
        <v>131</v>
      </c>
      <c r="E136" s="439"/>
      <c r="F136" s="439"/>
      <c r="G136" s="455" t="s">
        <v>134</v>
      </c>
      <c r="H136" s="455">
        <v>1.0</v>
      </c>
      <c r="I136" s="495">
        <v>0.0125</v>
      </c>
      <c r="J136" s="459"/>
      <c r="K136" s="458"/>
      <c r="L136" s="454"/>
      <c r="M136" s="461" t="s">
        <v>210</v>
      </c>
      <c r="N136" s="413"/>
      <c r="O136" s="413"/>
      <c r="P136" s="413"/>
      <c r="Q136" s="413"/>
      <c r="R136" s="413"/>
      <c r="S136" s="413"/>
      <c r="T136" s="413"/>
      <c r="U136" s="413"/>
      <c r="V136" s="413"/>
      <c r="W136" s="413"/>
      <c r="X136" s="413"/>
      <c r="Y136" s="413"/>
      <c r="Z136" s="413"/>
    </row>
    <row r="137" hidden="1">
      <c r="A137" s="493">
        <v>45926.0</v>
      </c>
      <c r="B137" s="461" t="s">
        <v>71</v>
      </c>
      <c r="C137" s="455" t="s">
        <v>70</v>
      </c>
      <c r="D137" s="455" t="s">
        <v>125</v>
      </c>
      <c r="E137" s="439"/>
      <c r="F137" s="439"/>
      <c r="G137" s="455" t="s">
        <v>129</v>
      </c>
      <c r="H137" s="455">
        <v>1.0</v>
      </c>
      <c r="I137" s="495">
        <v>0.014583333333333334</v>
      </c>
      <c r="J137" s="459"/>
      <c r="K137" s="458"/>
      <c r="L137" s="454"/>
      <c r="M137" s="461" t="s">
        <v>211</v>
      </c>
      <c r="N137" s="413"/>
      <c r="O137" s="413"/>
      <c r="P137" s="413"/>
      <c r="Q137" s="413"/>
      <c r="R137" s="413"/>
      <c r="S137" s="413"/>
      <c r="T137" s="413"/>
      <c r="U137" s="413"/>
      <c r="V137" s="413"/>
      <c r="W137" s="413"/>
      <c r="X137" s="413"/>
      <c r="Y137" s="413"/>
      <c r="Z137" s="413"/>
    </row>
    <row r="138" hidden="1">
      <c r="A138" s="493">
        <v>45929.0</v>
      </c>
      <c r="B138" s="461" t="s">
        <v>71</v>
      </c>
      <c r="C138" s="455" t="s">
        <v>70</v>
      </c>
      <c r="D138" s="455" t="s">
        <v>125</v>
      </c>
      <c r="E138" s="439"/>
      <c r="F138" s="439"/>
      <c r="G138" s="455" t="s">
        <v>134</v>
      </c>
      <c r="H138" s="455">
        <v>1.0</v>
      </c>
      <c r="I138" s="495">
        <v>0.010416666666666666</v>
      </c>
      <c r="J138" s="459"/>
      <c r="K138" s="458"/>
      <c r="L138" s="454"/>
      <c r="M138" s="461" t="s">
        <v>207</v>
      </c>
      <c r="N138" s="413"/>
      <c r="O138" s="413"/>
      <c r="P138" s="413"/>
      <c r="Q138" s="413"/>
      <c r="R138" s="413"/>
      <c r="S138" s="413"/>
      <c r="T138" s="413"/>
      <c r="U138" s="413"/>
      <c r="V138" s="413"/>
      <c r="W138" s="413"/>
      <c r="X138" s="413"/>
      <c r="Y138" s="413"/>
      <c r="Z138" s="413"/>
    </row>
    <row r="139" hidden="1">
      <c r="A139" s="493">
        <v>45929.0</v>
      </c>
      <c r="B139" s="461" t="s">
        <v>71</v>
      </c>
      <c r="C139" s="455" t="s">
        <v>70</v>
      </c>
      <c r="D139" s="455" t="s">
        <v>125</v>
      </c>
      <c r="E139" s="439"/>
      <c r="F139" s="439"/>
      <c r="G139" s="455" t="s">
        <v>129</v>
      </c>
      <c r="H139" s="455">
        <v>1.0</v>
      </c>
      <c r="I139" s="495">
        <v>0.06736111111111111</v>
      </c>
      <c r="J139" s="459"/>
      <c r="K139" s="458"/>
      <c r="L139" s="454"/>
      <c r="M139" s="461" t="s">
        <v>212</v>
      </c>
      <c r="N139" s="413"/>
      <c r="O139" s="413"/>
      <c r="P139" s="413"/>
      <c r="Q139" s="413"/>
      <c r="R139" s="413"/>
      <c r="S139" s="413"/>
      <c r="T139" s="413"/>
      <c r="U139" s="413"/>
      <c r="V139" s="413"/>
      <c r="W139" s="413"/>
      <c r="X139" s="413"/>
      <c r="Y139" s="413"/>
      <c r="Z139" s="413"/>
    </row>
    <row r="140" hidden="1">
      <c r="A140" s="493">
        <v>45929.0</v>
      </c>
      <c r="B140" s="461" t="s">
        <v>71</v>
      </c>
      <c r="C140" s="455" t="s">
        <v>70</v>
      </c>
      <c r="D140" s="455" t="s">
        <v>125</v>
      </c>
      <c r="E140" s="439"/>
      <c r="F140" s="439"/>
      <c r="G140" s="455" t="s">
        <v>129</v>
      </c>
      <c r="H140" s="455">
        <v>1.0</v>
      </c>
      <c r="I140" s="495">
        <v>0.06736111111111111</v>
      </c>
      <c r="J140" s="459"/>
      <c r="K140" s="458"/>
      <c r="L140" s="454"/>
      <c r="M140" s="461" t="s">
        <v>212</v>
      </c>
      <c r="N140" s="413"/>
      <c r="O140" s="413"/>
      <c r="P140" s="413"/>
      <c r="Q140" s="413"/>
      <c r="R140" s="413"/>
      <c r="S140" s="413"/>
      <c r="T140" s="413"/>
      <c r="U140" s="413"/>
      <c r="V140" s="413"/>
      <c r="W140" s="413"/>
      <c r="X140" s="413"/>
      <c r="Y140" s="413"/>
      <c r="Z140" s="413"/>
    </row>
    <row r="141" hidden="1">
      <c r="A141" s="493">
        <v>45934.0</v>
      </c>
      <c r="B141" s="461" t="s">
        <v>71</v>
      </c>
      <c r="C141" s="455" t="s">
        <v>70</v>
      </c>
      <c r="D141" s="455" t="s">
        <v>144</v>
      </c>
      <c r="E141" s="439"/>
      <c r="F141" s="439"/>
      <c r="G141" s="455" t="s">
        <v>134</v>
      </c>
      <c r="H141" s="455">
        <v>1.0</v>
      </c>
      <c r="I141" s="495">
        <v>0.0125</v>
      </c>
      <c r="J141" s="459"/>
      <c r="K141" s="458"/>
      <c r="L141" s="454"/>
      <c r="M141" s="453"/>
      <c r="N141" s="413"/>
      <c r="O141" s="413"/>
      <c r="P141" s="413"/>
      <c r="Q141" s="413"/>
      <c r="R141" s="413"/>
      <c r="S141" s="413"/>
      <c r="T141" s="413"/>
      <c r="U141" s="413"/>
      <c r="V141" s="413"/>
      <c r="W141" s="413"/>
      <c r="X141" s="413"/>
      <c r="Y141" s="413"/>
      <c r="Z141" s="413"/>
    </row>
    <row r="142" hidden="1">
      <c r="A142" s="493">
        <v>45934.0</v>
      </c>
      <c r="B142" s="461" t="s">
        <v>71</v>
      </c>
      <c r="C142" s="455" t="s">
        <v>70</v>
      </c>
      <c r="D142" s="455" t="s">
        <v>125</v>
      </c>
      <c r="E142" s="439"/>
      <c r="F142" s="439"/>
      <c r="G142" s="455" t="s">
        <v>129</v>
      </c>
      <c r="H142" s="455">
        <v>1.0</v>
      </c>
      <c r="I142" s="495">
        <v>0.052083333333333336</v>
      </c>
      <c r="J142" s="459"/>
      <c r="K142" s="458"/>
      <c r="L142" s="454"/>
      <c r="M142" s="461" t="s">
        <v>213</v>
      </c>
      <c r="N142" s="413"/>
      <c r="O142" s="413"/>
      <c r="P142" s="413"/>
      <c r="Q142" s="413"/>
      <c r="R142" s="413"/>
      <c r="S142" s="413"/>
      <c r="T142" s="413"/>
      <c r="U142" s="413"/>
      <c r="V142" s="413"/>
      <c r="W142" s="413"/>
      <c r="X142" s="413"/>
      <c r="Y142" s="413"/>
      <c r="Z142" s="413"/>
    </row>
    <row r="143" hidden="1">
      <c r="A143" s="493">
        <v>45934.0</v>
      </c>
      <c r="B143" s="461" t="s">
        <v>77</v>
      </c>
      <c r="C143" s="455" t="s">
        <v>70</v>
      </c>
      <c r="D143" s="455" t="s">
        <v>125</v>
      </c>
      <c r="E143" s="439"/>
      <c r="F143" s="439"/>
      <c r="G143" s="455" t="s">
        <v>134</v>
      </c>
      <c r="H143" s="455">
        <v>6.0</v>
      </c>
      <c r="I143" s="495">
        <v>0.04027777777777778</v>
      </c>
      <c r="J143" s="459"/>
      <c r="K143" s="458"/>
      <c r="L143" s="454"/>
      <c r="M143" s="461"/>
      <c r="N143" s="413"/>
      <c r="O143" s="413"/>
      <c r="P143" s="413"/>
      <c r="Q143" s="413"/>
      <c r="R143" s="413"/>
      <c r="S143" s="413"/>
      <c r="T143" s="413"/>
      <c r="U143" s="413"/>
      <c r="V143" s="413"/>
      <c r="W143" s="413"/>
      <c r="X143" s="413"/>
      <c r="Y143" s="413"/>
      <c r="Z143" s="413"/>
    </row>
    <row r="144" hidden="1">
      <c r="A144" s="493">
        <v>45936.0</v>
      </c>
      <c r="B144" s="461" t="s">
        <v>77</v>
      </c>
      <c r="C144" s="455" t="s">
        <v>70</v>
      </c>
      <c r="D144" s="455" t="s">
        <v>125</v>
      </c>
      <c r="E144" s="439"/>
      <c r="F144" s="439"/>
      <c r="G144" s="455" t="s">
        <v>134</v>
      </c>
      <c r="H144" s="455">
        <v>3.0</v>
      </c>
      <c r="I144" s="495">
        <v>0.025</v>
      </c>
      <c r="J144" s="459"/>
      <c r="K144" s="458"/>
      <c r="L144" s="454"/>
      <c r="M144" s="461"/>
      <c r="N144" s="413"/>
      <c r="O144" s="413"/>
      <c r="P144" s="413"/>
      <c r="Q144" s="413"/>
      <c r="R144" s="413"/>
      <c r="S144" s="413"/>
      <c r="T144" s="413"/>
      <c r="U144" s="413"/>
      <c r="V144" s="413"/>
      <c r="W144" s="413"/>
      <c r="X144" s="413"/>
      <c r="Y144" s="413"/>
      <c r="Z144" s="413"/>
    </row>
    <row r="145" hidden="1">
      <c r="A145" s="492">
        <v>45937.0</v>
      </c>
      <c r="B145" s="461" t="s">
        <v>83</v>
      </c>
      <c r="C145" s="455" t="s">
        <v>70</v>
      </c>
      <c r="D145" s="455" t="s">
        <v>131</v>
      </c>
      <c r="E145" s="439"/>
      <c r="F145" s="439"/>
      <c r="G145" s="455" t="s">
        <v>134</v>
      </c>
      <c r="H145" s="455">
        <v>2.0</v>
      </c>
      <c r="I145" s="490">
        <v>0.03125</v>
      </c>
      <c r="J145" s="459"/>
      <c r="K145" s="458"/>
      <c r="L145" s="454"/>
      <c r="M145" s="461" t="s">
        <v>214</v>
      </c>
      <c r="N145" s="413"/>
      <c r="O145" s="413"/>
      <c r="P145" s="413"/>
      <c r="Q145" s="413"/>
      <c r="R145" s="413"/>
      <c r="S145" s="413"/>
      <c r="T145" s="413"/>
      <c r="U145" s="413"/>
      <c r="V145" s="413"/>
      <c r="W145" s="413"/>
      <c r="X145" s="413"/>
      <c r="Y145" s="413"/>
      <c r="Z145" s="413"/>
    </row>
    <row r="146" hidden="1">
      <c r="A146" s="493">
        <v>45938.0</v>
      </c>
      <c r="B146" s="461" t="s">
        <v>71</v>
      </c>
      <c r="C146" s="455" t="s">
        <v>70</v>
      </c>
      <c r="D146" s="455" t="s">
        <v>125</v>
      </c>
      <c r="E146" s="439"/>
      <c r="F146" s="439"/>
      <c r="G146" s="455" t="s">
        <v>129</v>
      </c>
      <c r="H146" s="455">
        <v>1.0</v>
      </c>
      <c r="I146" s="495">
        <v>0.03680555555555556</v>
      </c>
      <c r="J146" s="459"/>
      <c r="K146" s="458"/>
      <c r="L146" s="454"/>
      <c r="M146" s="461" t="s">
        <v>213</v>
      </c>
      <c r="N146" s="413"/>
      <c r="O146" s="413"/>
      <c r="P146" s="413"/>
      <c r="Q146" s="413"/>
      <c r="R146" s="413"/>
      <c r="S146" s="413"/>
      <c r="T146" s="413"/>
      <c r="U146" s="413"/>
      <c r="V146" s="413"/>
      <c r="W146" s="413"/>
      <c r="X146" s="413"/>
      <c r="Y146" s="413"/>
      <c r="Z146" s="413"/>
    </row>
    <row r="147" hidden="1">
      <c r="A147" s="493">
        <v>45939.0</v>
      </c>
      <c r="B147" s="461" t="s">
        <v>71</v>
      </c>
      <c r="C147" s="455" t="s">
        <v>70</v>
      </c>
      <c r="D147" s="455" t="s">
        <v>131</v>
      </c>
      <c r="E147" s="439"/>
      <c r="F147" s="439"/>
      <c r="G147" s="455" t="s">
        <v>134</v>
      </c>
      <c r="H147" s="455">
        <v>1.0</v>
      </c>
      <c r="I147" s="495">
        <v>0.007638888888888889</v>
      </c>
      <c r="J147" s="459"/>
      <c r="K147" s="458"/>
      <c r="L147" s="454"/>
      <c r="M147" s="461" t="s">
        <v>215</v>
      </c>
      <c r="N147" s="413"/>
      <c r="O147" s="413"/>
      <c r="P147" s="413"/>
      <c r="Q147" s="413"/>
      <c r="R147" s="413"/>
      <c r="S147" s="413"/>
      <c r="T147" s="413"/>
      <c r="U147" s="413"/>
      <c r="V147" s="413"/>
      <c r="W147" s="413"/>
      <c r="X147" s="413"/>
      <c r="Y147" s="413"/>
      <c r="Z147" s="413"/>
    </row>
    <row r="148" hidden="1">
      <c r="A148" s="496"/>
      <c r="B148" s="494"/>
      <c r="C148" s="455"/>
      <c r="D148" s="455"/>
      <c r="E148" s="439"/>
      <c r="F148" s="439"/>
      <c r="G148" s="454"/>
      <c r="H148" s="454"/>
      <c r="I148" s="456"/>
      <c r="J148" s="459"/>
      <c r="K148" s="458"/>
      <c r="L148" s="454"/>
      <c r="M148" s="453"/>
      <c r="N148" s="413"/>
      <c r="O148" s="413"/>
      <c r="P148" s="413"/>
      <c r="Q148" s="413"/>
      <c r="R148" s="413"/>
      <c r="S148" s="413"/>
      <c r="T148" s="413"/>
      <c r="U148" s="413"/>
      <c r="V148" s="413"/>
      <c r="W148" s="413"/>
      <c r="X148" s="413"/>
      <c r="Y148" s="413"/>
      <c r="Z148" s="413"/>
    </row>
    <row r="149" hidden="1">
      <c r="A149" s="498">
        <v>45944.0</v>
      </c>
      <c r="B149" s="461" t="s">
        <v>83</v>
      </c>
      <c r="C149" s="455" t="s">
        <v>70</v>
      </c>
      <c r="D149" s="455" t="s">
        <v>125</v>
      </c>
      <c r="E149" s="439"/>
      <c r="F149" s="439"/>
      <c r="G149" s="455" t="s">
        <v>134</v>
      </c>
      <c r="H149" s="455">
        <v>2.0</v>
      </c>
      <c r="I149" s="490">
        <v>0.16875</v>
      </c>
      <c r="J149" s="459"/>
      <c r="K149" s="458"/>
      <c r="L149" s="454"/>
      <c r="M149" s="461" t="s">
        <v>216</v>
      </c>
      <c r="N149" s="413"/>
      <c r="O149" s="413"/>
      <c r="P149" s="413"/>
      <c r="Q149" s="413"/>
      <c r="R149" s="413"/>
      <c r="S149" s="413"/>
      <c r="T149" s="413"/>
      <c r="U149" s="413"/>
      <c r="V149" s="413"/>
      <c r="W149" s="413"/>
      <c r="X149" s="413"/>
      <c r="Y149" s="413"/>
      <c r="Z149" s="413"/>
    </row>
    <row r="150" hidden="1">
      <c r="A150" s="498">
        <v>45947.0</v>
      </c>
      <c r="B150" s="461" t="s">
        <v>83</v>
      </c>
      <c r="C150" s="455" t="s">
        <v>70</v>
      </c>
      <c r="D150" s="455" t="s">
        <v>125</v>
      </c>
      <c r="E150" s="439"/>
      <c r="F150" s="439"/>
      <c r="G150" s="455" t="s">
        <v>134</v>
      </c>
      <c r="H150" s="455">
        <v>2.0</v>
      </c>
      <c r="I150" s="490">
        <v>0.04097222222222222</v>
      </c>
      <c r="J150" s="459"/>
      <c r="K150" s="458"/>
      <c r="L150" s="454"/>
      <c r="M150" s="461" t="s">
        <v>217</v>
      </c>
      <c r="N150" s="413"/>
      <c r="O150" s="413"/>
      <c r="P150" s="413"/>
      <c r="Q150" s="413"/>
      <c r="R150" s="413"/>
      <c r="S150" s="413"/>
      <c r="T150" s="413"/>
      <c r="U150" s="413"/>
      <c r="V150" s="413"/>
      <c r="W150" s="413"/>
      <c r="X150" s="413"/>
      <c r="Y150" s="413"/>
      <c r="Z150" s="413"/>
    </row>
    <row r="151" hidden="1">
      <c r="A151" s="493">
        <v>45945.0</v>
      </c>
      <c r="B151" s="461" t="s">
        <v>84</v>
      </c>
      <c r="C151" s="455" t="s">
        <v>70</v>
      </c>
      <c r="D151" s="455" t="s">
        <v>125</v>
      </c>
      <c r="E151" s="439"/>
      <c r="F151" s="439"/>
      <c r="G151" s="455" t="s">
        <v>129</v>
      </c>
      <c r="H151" s="455">
        <v>2.0</v>
      </c>
      <c r="I151" s="495">
        <v>0.027777777777777776</v>
      </c>
      <c r="J151" s="459"/>
      <c r="K151" s="458"/>
      <c r="L151" s="454"/>
      <c r="M151" s="453"/>
      <c r="N151" s="413"/>
      <c r="O151" s="413"/>
      <c r="P151" s="413"/>
      <c r="Q151" s="413"/>
      <c r="R151" s="413"/>
      <c r="S151" s="413"/>
      <c r="T151" s="413"/>
      <c r="U151" s="413"/>
      <c r="V151" s="413"/>
      <c r="W151" s="413"/>
      <c r="X151" s="413"/>
      <c r="Y151" s="413"/>
      <c r="Z151" s="413"/>
    </row>
    <row r="152" hidden="1">
      <c r="A152" s="493">
        <v>45946.0</v>
      </c>
      <c r="B152" s="461" t="s">
        <v>84</v>
      </c>
      <c r="C152" s="455" t="s">
        <v>70</v>
      </c>
      <c r="D152" s="455" t="s">
        <v>125</v>
      </c>
      <c r="E152" s="439"/>
      <c r="F152" s="439"/>
      <c r="G152" s="455" t="s">
        <v>129</v>
      </c>
      <c r="H152" s="455">
        <v>1.0</v>
      </c>
      <c r="I152" s="495">
        <v>0.10625</v>
      </c>
      <c r="J152" s="459"/>
      <c r="K152" s="458"/>
      <c r="L152" s="454"/>
      <c r="M152" s="453"/>
      <c r="N152" s="413"/>
      <c r="O152" s="413"/>
      <c r="P152" s="413"/>
      <c r="Q152" s="413"/>
      <c r="R152" s="413"/>
      <c r="S152" s="413"/>
      <c r="T152" s="413"/>
      <c r="U152" s="413"/>
      <c r="V152" s="413"/>
      <c r="W152" s="413"/>
      <c r="X152" s="413"/>
      <c r="Y152" s="413"/>
      <c r="Z152" s="413"/>
    </row>
    <row r="153" hidden="1">
      <c r="A153" s="493">
        <v>45946.0</v>
      </c>
      <c r="B153" s="461" t="s">
        <v>84</v>
      </c>
      <c r="C153" s="455" t="s">
        <v>70</v>
      </c>
      <c r="D153" s="455" t="s">
        <v>125</v>
      </c>
      <c r="E153" s="439"/>
      <c r="F153" s="439"/>
      <c r="G153" s="455" t="s">
        <v>129</v>
      </c>
      <c r="H153" s="455">
        <v>1.0</v>
      </c>
      <c r="I153" s="495">
        <v>0.10625</v>
      </c>
      <c r="J153" s="459"/>
      <c r="K153" s="458"/>
      <c r="L153" s="454"/>
      <c r="M153" s="453"/>
      <c r="N153" s="413"/>
      <c r="O153" s="413"/>
      <c r="P153" s="413"/>
      <c r="Q153" s="413"/>
      <c r="R153" s="413"/>
      <c r="S153" s="413"/>
      <c r="T153" s="413"/>
      <c r="U153" s="413"/>
      <c r="V153" s="413"/>
      <c r="W153" s="413"/>
      <c r="X153" s="413"/>
      <c r="Y153" s="413"/>
      <c r="Z153" s="413"/>
    </row>
    <row r="154" hidden="1">
      <c r="A154" s="493">
        <v>45947.0</v>
      </c>
      <c r="B154" s="461" t="s">
        <v>84</v>
      </c>
      <c r="C154" s="455" t="s">
        <v>70</v>
      </c>
      <c r="D154" s="455" t="s">
        <v>125</v>
      </c>
      <c r="E154" s="439"/>
      <c r="F154" s="439"/>
      <c r="G154" s="455" t="s">
        <v>129</v>
      </c>
      <c r="H154" s="455">
        <v>1.0</v>
      </c>
      <c r="I154" s="495">
        <v>0.125</v>
      </c>
      <c r="J154" s="459"/>
      <c r="K154" s="458"/>
      <c r="L154" s="454"/>
      <c r="M154" s="453"/>
      <c r="N154" s="413"/>
      <c r="O154" s="413"/>
      <c r="P154" s="413"/>
      <c r="Q154" s="413"/>
      <c r="R154" s="413"/>
      <c r="S154" s="413"/>
      <c r="T154" s="413"/>
      <c r="U154" s="413"/>
      <c r="V154" s="413"/>
      <c r="W154" s="413"/>
      <c r="X154" s="413"/>
      <c r="Y154" s="413"/>
      <c r="Z154" s="413"/>
    </row>
    <row r="155" hidden="1">
      <c r="A155" s="498">
        <v>45960.0</v>
      </c>
      <c r="B155" s="461" t="s">
        <v>83</v>
      </c>
      <c r="C155" s="455" t="s">
        <v>70</v>
      </c>
      <c r="D155" s="455" t="s">
        <v>125</v>
      </c>
      <c r="E155" s="439"/>
      <c r="F155" s="439"/>
      <c r="G155" s="455" t="s">
        <v>134</v>
      </c>
      <c r="H155" s="455">
        <v>3.0</v>
      </c>
      <c r="I155" s="490">
        <v>0.04513888888888889</v>
      </c>
      <c r="J155" s="459"/>
      <c r="K155" s="458"/>
      <c r="L155" s="454"/>
      <c r="M155" s="461" t="s">
        <v>218</v>
      </c>
      <c r="N155" s="413"/>
      <c r="O155" s="413"/>
      <c r="P155" s="413"/>
      <c r="Q155" s="413"/>
      <c r="R155" s="413"/>
      <c r="S155" s="413"/>
      <c r="T155" s="413"/>
      <c r="U155" s="413"/>
      <c r="V155" s="413"/>
      <c r="W155" s="413"/>
      <c r="X155" s="413"/>
      <c r="Y155" s="413"/>
      <c r="Z155" s="413"/>
    </row>
    <row r="156" hidden="1">
      <c r="A156" s="498">
        <v>45961.0</v>
      </c>
      <c r="B156" s="461" t="s">
        <v>83</v>
      </c>
      <c r="C156" s="455" t="s">
        <v>70</v>
      </c>
      <c r="D156" s="455" t="s">
        <v>125</v>
      </c>
      <c r="E156" s="439"/>
      <c r="F156" s="439"/>
      <c r="G156" s="455" t="s">
        <v>134</v>
      </c>
      <c r="H156" s="455">
        <v>1.0</v>
      </c>
      <c r="I156" s="490">
        <v>0.017361111111111112</v>
      </c>
      <c r="J156" s="459"/>
      <c r="K156" s="458"/>
      <c r="L156" s="454"/>
      <c r="M156" s="461" t="s">
        <v>219</v>
      </c>
      <c r="N156" s="413"/>
      <c r="O156" s="413"/>
      <c r="P156" s="413"/>
      <c r="Q156" s="413"/>
      <c r="R156" s="413"/>
      <c r="S156" s="413"/>
      <c r="T156" s="413"/>
      <c r="U156" s="413"/>
      <c r="V156" s="413"/>
      <c r="W156" s="413"/>
      <c r="X156" s="413"/>
      <c r="Y156" s="413"/>
      <c r="Z156" s="413"/>
    </row>
    <row r="157" hidden="1">
      <c r="A157" s="496">
        <v>45959.0</v>
      </c>
      <c r="B157" s="461" t="s">
        <v>80</v>
      </c>
      <c r="C157" s="455" t="s">
        <v>78</v>
      </c>
      <c r="D157" s="455" t="s">
        <v>131</v>
      </c>
      <c r="E157" s="439"/>
      <c r="F157" s="439"/>
      <c r="G157" s="455" t="s">
        <v>134</v>
      </c>
      <c r="H157" s="455">
        <v>1.0</v>
      </c>
      <c r="I157" s="497">
        <v>0.027083333333333334</v>
      </c>
      <c r="J157" s="459"/>
      <c r="K157" s="458"/>
      <c r="L157" s="454"/>
      <c r="M157" s="491" t="s">
        <v>220</v>
      </c>
      <c r="N157" s="413"/>
      <c r="O157" s="413"/>
      <c r="P157" s="413"/>
      <c r="Q157" s="413"/>
      <c r="R157" s="413"/>
      <c r="S157" s="413"/>
      <c r="T157" s="413"/>
      <c r="U157" s="413"/>
      <c r="V157" s="413"/>
      <c r="W157" s="413"/>
      <c r="X157" s="413"/>
      <c r="Y157" s="413"/>
      <c r="Z157" s="413"/>
    </row>
    <row r="158" hidden="1">
      <c r="A158" s="496">
        <v>45961.0</v>
      </c>
      <c r="B158" s="461" t="s">
        <v>80</v>
      </c>
      <c r="C158" s="455" t="s">
        <v>78</v>
      </c>
      <c r="D158" s="454"/>
      <c r="E158" s="439"/>
      <c r="F158" s="439"/>
      <c r="G158" s="455" t="s">
        <v>127</v>
      </c>
      <c r="H158" s="455">
        <v>1.0</v>
      </c>
      <c r="I158" s="497">
        <v>0.10555555555555556</v>
      </c>
      <c r="J158" s="459"/>
      <c r="K158" s="458"/>
      <c r="L158" s="454"/>
      <c r="M158" s="453"/>
      <c r="N158" s="413"/>
      <c r="O158" s="413"/>
      <c r="P158" s="413"/>
      <c r="Q158" s="413"/>
      <c r="R158" s="413"/>
      <c r="S158" s="413"/>
      <c r="T158" s="413"/>
      <c r="U158" s="413"/>
      <c r="V158" s="413"/>
      <c r="W158" s="413"/>
      <c r="X158" s="413"/>
      <c r="Y158" s="413"/>
      <c r="Z158" s="413"/>
    </row>
    <row r="159" hidden="1">
      <c r="A159" s="496">
        <v>45961.0</v>
      </c>
      <c r="B159" s="461" t="s">
        <v>86</v>
      </c>
      <c r="C159" s="455" t="s">
        <v>87</v>
      </c>
      <c r="D159" s="455" t="s">
        <v>131</v>
      </c>
      <c r="E159" s="439"/>
      <c r="F159" s="439"/>
      <c r="G159" s="455" t="s">
        <v>129</v>
      </c>
      <c r="H159" s="455">
        <v>5.0</v>
      </c>
      <c r="I159" s="497">
        <v>0.11736111111111111</v>
      </c>
      <c r="J159" s="459"/>
      <c r="K159" s="458"/>
      <c r="L159" s="454"/>
      <c r="M159" s="453"/>
      <c r="N159" s="413"/>
      <c r="O159" s="413"/>
      <c r="P159" s="413"/>
      <c r="Q159" s="413"/>
      <c r="R159" s="413"/>
      <c r="S159" s="413"/>
      <c r="T159" s="413"/>
      <c r="U159" s="413"/>
      <c r="V159" s="413"/>
      <c r="W159" s="413"/>
      <c r="X159" s="413"/>
      <c r="Y159" s="413"/>
      <c r="Z159" s="413"/>
    </row>
    <row r="160" hidden="1">
      <c r="A160" s="496">
        <v>45964.0</v>
      </c>
      <c r="B160" s="461" t="s">
        <v>86</v>
      </c>
      <c r="C160" s="455" t="s">
        <v>87</v>
      </c>
      <c r="D160" s="455" t="s">
        <v>125</v>
      </c>
      <c r="E160" s="439"/>
      <c r="F160" s="439"/>
      <c r="G160" s="455" t="s">
        <v>129</v>
      </c>
      <c r="H160" s="455">
        <v>1.0</v>
      </c>
      <c r="I160" s="497">
        <v>0.019444444444444445</v>
      </c>
      <c r="J160" s="459"/>
      <c r="K160" s="458"/>
      <c r="L160" s="454"/>
      <c r="M160" s="453"/>
      <c r="N160" s="413"/>
      <c r="O160" s="413"/>
      <c r="P160" s="413"/>
      <c r="Q160" s="413"/>
      <c r="R160" s="413"/>
      <c r="S160" s="413"/>
      <c r="T160" s="413"/>
      <c r="U160" s="413"/>
      <c r="V160" s="413"/>
      <c r="W160" s="413"/>
      <c r="X160" s="413"/>
      <c r="Y160" s="413"/>
      <c r="Z160" s="413"/>
    </row>
    <row r="161" hidden="1">
      <c r="A161" s="493">
        <v>45955.0</v>
      </c>
      <c r="B161" s="461" t="s">
        <v>84</v>
      </c>
      <c r="C161" s="455" t="s">
        <v>70</v>
      </c>
      <c r="D161" s="455" t="s">
        <v>125</v>
      </c>
      <c r="E161" s="439"/>
      <c r="F161" s="439"/>
      <c r="G161" s="455" t="s">
        <v>134</v>
      </c>
      <c r="H161" s="455">
        <v>1.0</v>
      </c>
      <c r="I161" s="495">
        <v>0.008333333333333333</v>
      </c>
      <c r="J161" s="459"/>
      <c r="K161" s="458"/>
      <c r="L161" s="454"/>
      <c r="M161" s="491" t="s">
        <v>207</v>
      </c>
      <c r="N161" s="413"/>
      <c r="O161" s="413"/>
      <c r="P161" s="413"/>
      <c r="Q161" s="413"/>
      <c r="R161" s="413"/>
      <c r="S161" s="413"/>
      <c r="T161" s="413"/>
      <c r="U161" s="413"/>
      <c r="V161" s="413"/>
      <c r="W161" s="413"/>
      <c r="X161" s="413"/>
      <c r="Y161" s="413"/>
      <c r="Z161" s="413"/>
    </row>
    <row r="162" hidden="1">
      <c r="A162" s="493">
        <v>45956.0</v>
      </c>
      <c r="B162" s="461" t="s">
        <v>84</v>
      </c>
      <c r="C162" s="455" t="s">
        <v>70</v>
      </c>
      <c r="D162" s="455" t="s">
        <v>144</v>
      </c>
      <c r="E162" s="439"/>
      <c r="F162" s="439"/>
      <c r="G162" s="455" t="s">
        <v>129</v>
      </c>
      <c r="H162" s="455">
        <v>1.0</v>
      </c>
      <c r="I162" s="495">
        <v>0.03611111111111111</v>
      </c>
      <c r="J162" s="459"/>
      <c r="K162" s="458"/>
      <c r="L162" s="454"/>
      <c r="M162" s="453"/>
      <c r="N162" s="413"/>
      <c r="O162" s="413"/>
      <c r="P162" s="413"/>
      <c r="Q162" s="413"/>
      <c r="R162" s="413"/>
      <c r="S162" s="413"/>
      <c r="T162" s="413"/>
      <c r="U162" s="413"/>
      <c r="V162" s="413"/>
      <c r="W162" s="413"/>
      <c r="X162" s="413"/>
      <c r="Y162" s="413"/>
      <c r="Z162" s="413"/>
    </row>
    <row r="163" hidden="1">
      <c r="A163" s="493">
        <v>45978.0</v>
      </c>
      <c r="B163" s="461" t="s">
        <v>84</v>
      </c>
      <c r="C163" s="455" t="s">
        <v>70</v>
      </c>
      <c r="D163" s="455" t="s">
        <v>125</v>
      </c>
      <c r="E163" s="439"/>
      <c r="F163" s="439"/>
      <c r="G163" s="455" t="s">
        <v>134</v>
      </c>
      <c r="H163" s="455">
        <v>1.0</v>
      </c>
      <c r="I163" s="495">
        <v>0.009027777777777777</v>
      </c>
      <c r="J163" s="459"/>
      <c r="K163" s="458"/>
      <c r="L163" s="454"/>
      <c r="M163" s="461" t="s">
        <v>221</v>
      </c>
      <c r="N163" s="413"/>
      <c r="O163" s="413"/>
      <c r="P163" s="413"/>
      <c r="Q163" s="413"/>
      <c r="R163" s="413"/>
      <c r="S163" s="413"/>
      <c r="T163" s="413"/>
      <c r="U163" s="413"/>
      <c r="V163" s="413"/>
      <c r="W163" s="413"/>
      <c r="X163" s="413"/>
      <c r="Y163" s="413"/>
      <c r="Z163" s="413"/>
    </row>
    <row r="164" hidden="1">
      <c r="A164" s="493">
        <v>45980.0</v>
      </c>
      <c r="B164" s="461" t="s">
        <v>84</v>
      </c>
      <c r="C164" s="455" t="s">
        <v>70</v>
      </c>
      <c r="D164" s="455" t="s">
        <v>125</v>
      </c>
      <c r="E164" s="439"/>
      <c r="F164" s="439"/>
      <c r="G164" s="455" t="s">
        <v>134</v>
      </c>
      <c r="H164" s="455">
        <v>2.0</v>
      </c>
      <c r="I164" s="495">
        <v>0.02013888888888889</v>
      </c>
      <c r="J164" s="459"/>
      <c r="K164" s="458"/>
      <c r="L164" s="454"/>
      <c r="M164" s="461" t="s">
        <v>222</v>
      </c>
      <c r="N164" s="413"/>
      <c r="O164" s="413"/>
      <c r="P164" s="413"/>
      <c r="Q164" s="413"/>
      <c r="R164" s="413"/>
      <c r="S164" s="413"/>
      <c r="T164" s="413"/>
      <c r="U164" s="413"/>
      <c r="V164" s="413"/>
      <c r="W164" s="413"/>
      <c r="X164" s="413"/>
      <c r="Y164" s="413"/>
      <c r="Z164" s="413"/>
    </row>
    <row r="165" hidden="1">
      <c r="A165" s="493">
        <v>45980.0</v>
      </c>
      <c r="B165" s="461" t="s">
        <v>84</v>
      </c>
      <c r="C165" s="455" t="s">
        <v>70</v>
      </c>
      <c r="D165" s="455" t="s">
        <v>125</v>
      </c>
      <c r="E165" s="439"/>
      <c r="F165" s="439"/>
      <c r="G165" s="455" t="s">
        <v>134</v>
      </c>
      <c r="H165" s="455">
        <v>1.0</v>
      </c>
      <c r="I165" s="495">
        <v>0.020833333333333332</v>
      </c>
      <c r="J165" s="459"/>
      <c r="K165" s="458"/>
      <c r="L165" s="454"/>
      <c r="M165" s="461" t="s">
        <v>223</v>
      </c>
      <c r="N165" s="413"/>
      <c r="O165" s="413"/>
      <c r="P165" s="413"/>
      <c r="Q165" s="413"/>
      <c r="R165" s="413"/>
      <c r="S165" s="413"/>
      <c r="T165" s="413"/>
      <c r="U165" s="413"/>
      <c r="V165" s="413"/>
      <c r="W165" s="413"/>
      <c r="X165" s="413"/>
      <c r="Y165" s="413"/>
      <c r="Z165" s="413"/>
    </row>
    <row r="166" hidden="1">
      <c r="A166" s="493">
        <v>45985.0</v>
      </c>
      <c r="B166" s="461" t="s">
        <v>84</v>
      </c>
      <c r="C166" s="455" t="s">
        <v>70</v>
      </c>
      <c r="D166" s="455" t="s">
        <v>125</v>
      </c>
      <c r="E166" s="439"/>
      <c r="F166" s="439"/>
      <c r="G166" s="455" t="s">
        <v>134</v>
      </c>
      <c r="H166" s="455">
        <v>1.0</v>
      </c>
      <c r="I166" s="495">
        <v>0.010416666666666666</v>
      </c>
      <c r="J166" s="459"/>
      <c r="K166" s="458"/>
      <c r="L166" s="454"/>
      <c r="M166" s="461" t="s">
        <v>224</v>
      </c>
      <c r="N166" s="413"/>
      <c r="O166" s="413"/>
      <c r="P166" s="413"/>
      <c r="Q166" s="413"/>
      <c r="R166" s="413"/>
      <c r="S166" s="413"/>
      <c r="T166" s="413"/>
      <c r="U166" s="413"/>
      <c r="V166" s="413"/>
      <c r="W166" s="413"/>
      <c r="X166" s="413"/>
      <c r="Y166" s="413"/>
      <c r="Z166" s="413"/>
    </row>
    <row r="167" hidden="1">
      <c r="A167" s="493">
        <v>45988.0</v>
      </c>
      <c r="B167" s="461" t="s">
        <v>71</v>
      </c>
      <c r="C167" s="455" t="s">
        <v>70</v>
      </c>
      <c r="D167" s="455" t="s">
        <v>125</v>
      </c>
      <c r="E167" s="439"/>
      <c r="F167" s="439"/>
      <c r="G167" s="455" t="s">
        <v>134</v>
      </c>
      <c r="H167" s="455">
        <v>1.0</v>
      </c>
      <c r="I167" s="495">
        <v>0.02638888888888889</v>
      </c>
      <c r="J167" s="459"/>
      <c r="K167" s="458"/>
      <c r="L167" s="455">
        <v>1.0</v>
      </c>
      <c r="M167" s="461" t="s">
        <v>225</v>
      </c>
      <c r="N167" s="413"/>
      <c r="O167" s="413"/>
      <c r="P167" s="413"/>
      <c r="Q167" s="413"/>
      <c r="R167" s="413"/>
      <c r="S167" s="413"/>
      <c r="T167" s="413"/>
      <c r="U167" s="413"/>
      <c r="V167" s="413"/>
      <c r="W167" s="413"/>
      <c r="X167" s="413"/>
      <c r="Y167" s="413"/>
      <c r="Z167" s="413"/>
    </row>
    <row r="168" hidden="1">
      <c r="A168" s="493">
        <v>45988.0</v>
      </c>
      <c r="B168" s="461" t="s">
        <v>71</v>
      </c>
      <c r="C168" s="455" t="s">
        <v>70</v>
      </c>
      <c r="D168" s="455" t="s">
        <v>125</v>
      </c>
      <c r="E168" s="439"/>
      <c r="F168" s="439"/>
      <c r="G168" s="455" t="s">
        <v>134</v>
      </c>
      <c r="H168" s="455">
        <v>1.0</v>
      </c>
      <c r="I168" s="495">
        <v>0.025</v>
      </c>
      <c r="J168" s="459"/>
      <c r="K168" s="458"/>
      <c r="L168" s="455">
        <v>1.0</v>
      </c>
      <c r="M168" s="461" t="s">
        <v>225</v>
      </c>
      <c r="N168" s="413"/>
      <c r="O168" s="413"/>
      <c r="P168" s="413"/>
      <c r="Q168" s="413"/>
      <c r="R168" s="413"/>
      <c r="S168" s="413"/>
      <c r="T168" s="413"/>
      <c r="U168" s="413"/>
      <c r="V168" s="413"/>
      <c r="W168" s="413"/>
      <c r="X168" s="413"/>
      <c r="Y168" s="413"/>
      <c r="Z168" s="413"/>
    </row>
    <row r="169" hidden="1">
      <c r="A169" s="493">
        <v>45988.0</v>
      </c>
      <c r="B169" s="461" t="s">
        <v>71</v>
      </c>
      <c r="C169" s="455" t="s">
        <v>70</v>
      </c>
      <c r="D169" s="455" t="s">
        <v>125</v>
      </c>
      <c r="E169" s="439"/>
      <c r="F169" s="439"/>
      <c r="G169" s="455" t="s">
        <v>129</v>
      </c>
      <c r="H169" s="455">
        <v>1.0</v>
      </c>
      <c r="I169" s="495">
        <v>0.015277777777777777</v>
      </c>
      <c r="J169" s="459"/>
      <c r="K169" s="458"/>
      <c r="L169" s="454"/>
      <c r="M169" s="461" t="s">
        <v>226</v>
      </c>
      <c r="N169" s="413"/>
      <c r="O169" s="413"/>
      <c r="P169" s="413"/>
      <c r="Q169" s="413"/>
      <c r="R169" s="413"/>
      <c r="S169" s="413"/>
      <c r="T169" s="413"/>
      <c r="U169" s="413"/>
      <c r="V169" s="413"/>
      <c r="W169" s="413"/>
      <c r="X169" s="413"/>
      <c r="Y169" s="413"/>
      <c r="Z169" s="413"/>
    </row>
    <row r="170" hidden="1">
      <c r="A170" s="493">
        <v>45988.0</v>
      </c>
      <c r="B170" s="461" t="s">
        <v>71</v>
      </c>
      <c r="C170" s="455" t="s">
        <v>70</v>
      </c>
      <c r="D170" s="455" t="s">
        <v>125</v>
      </c>
      <c r="E170" s="439"/>
      <c r="F170" s="439"/>
      <c r="G170" s="455" t="s">
        <v>129</v>
      </c>
      <c r="H170" s="455">
        <v>1.0</v>
      </c>
      <c r="I170" s="495">
        <v>0.013888888888888888</v>
      </c>
      <c r="J170" s="459"/>
      <c r="K170" s="458"/>
      <c r="L170" s="455">
        <v>2.0</v>
      </c>
      <c r="M170" s="461" t="s">
        <v>227</v>
      </c>
      <c r="N170" s="413"/>
      <c r="O170" s="413"/>
      <c r="P170" s="413"/>
      <c r="Q170" s="413"/>
      <c r="R170" s="413"/>
      <c r="S170" s="413"/>
      <c r="T170" s="413"/>
      <c r="U170" s="413"/>
      <c r="V170" s="413"/>
      <c r="W170" s="413"/>
      <c r="X170" s="413"/>
      <c r="Y170" s="413"/>
      <c r="Z170" s="413"/>
    </row>
    <row r="171" hidden="1">
      <c r="A171" s="493">
        <v>45988.0</v>
      </c>
      <c r="B171" s="461" t="s">
        <v>71</v>
      </c>
      <c r="C171" s="455" t="s">
        <v>70</v>
      </c>
      <c r="D171" s="455" t="s">
        <v>125</v>
      </c>
      <c r="E171" s="439"/>
      <c r="F171" s="439"/>
      <c r="G171" s="455" t="s">
        <v>129</v>
      </c>
      <c r="H171" s="455">
        <v>1.0</v>
      </c>
      <c r="I171" s="495">
        <v>0.008333333333333333</v>
      </c>
      <c r="J171" s="459"/>
      <c r="K171" s="458"/>
      <c r="L171" s="455">
        <v>1.0</v>
      </c>
      <c r="M171" s="461" t="s">
        <v>228</v>
      </c>
      <c r="N171" s="413"/>
      <c r="O171" s="413"/>
      <c r="P171" s="413"/>
      <c r="Q171" s="413"/>
      <c r="R171" s="413"/>
      <c r="S171" s="413"/>
      <c r="T171" s="413"/>
      <c r="U171" s="413"/>
      <c r="V171" s="413"/>
      <c r="W171" s="413"/>
      <c r="X171" s="413"/>
      <c r="Y171" s="413"/>
      <c r="Z171" s="413"/>
    </row>
    <row r="172" hidden="1">
      <c r="A172" s="493">
        <v>45989.0</v>
      </c>
      <c r="B172" s="461" t="s">
        <v>71</v>
      </c>
      <c r="C172" s="455" t="s">
        <v>70</v>
      </c>
      <c r="D172" s="455" t="s">
        <v>125</v>
      </c>
      <c r="E172" s="439"/>
      <c r="F172" s="439"/>
      <c r="G172" s="455" t="s">
        <v>134</v>
      </c>
      <c r="H172" s="455">
        <v>1.0</v>
      </c>
      <c r="I172" s="495">
        <v>0.029861111111111113</v>
      </c>
      <c r="J172" s="459"/>
      <c r="K172" s="458"/>
      <c r="L172" s="455">
        <v>1.0</v>
      </c>
      <c r="M172" s="461" t="s">
        <v>207</v>
      </c>
      <c r="N172" s="413"/>
      <c r="O172" s="413"/>
      <c r="P172" s="413"/>
      <c r="Q172" s="413"/>
      <c r="R172" s="413"/>
      <c r="S172" s="413"/>
      <c r="T172" s="413"/>
      <c r="U172" s="413"/>
      <c r="V172" s="413"/>
      <c r="W172" s="413"/>
      <c r="X172" s="413"/>
      <c r="Y172" s="413"/>
      <c r="Z172" s="413"/>
    </row>
    <row r="173" hidden="1">
      <c r="A173" s="493">
        <v>45989.0</v>
      </c>
      <c r="B173" s="461" t="s">
        <v>71</v>
      </c>
      <c r="C173" s="455" t="s">
        <v>70</v>
      </c>
      <c r="D173" s="455" t="s">
        <v>125</v>
      </c>
      <c r="E173" s="439"/>
      <c r="F173" s="439"/>
      <c r="G173" s="455" t="s">
        <v>134</v>
      </c>
      <c r="H173" s="455">
        <v>1.0</v>
      </c>
      <c r="I173" s="495">
        <v>0.013888888888888888</v>
      </c>
      <c r="J173" s="459"/>
      <c r="K173" s="458"/>
      <c r="L173" s="455">
        <v>1.0</v>
      </c>
      <c r="M173" s="461" t="s">
        <v>207</v>
      </c>
      <c r="N173" s="413"/>
      <c r="O173" s="413"/>
      <c r="P173" s="413"/>
      <c r="Q173" s="413"/>
      <c r="R173" s="413"/>
      <c r="S173" s="413"/>
      <c r="T173" s="413"/>
      <c r="U173" s="413"/>
      <c r="V173" s="413"/>
      <c r="W173" s="413"/>
      <c r="X173" s="413"/>
      <c r="Y173" s="413"/>
      <c r="Z173" s="413"/>
    </row>
    <row r="174" hidden="1">
      <c r="A174" s="493">
        <v>45989.0</v>
      </c>
      <c r="B174" s="461" t="s">
        <v>71</v>
      </c>
      <c r="C174" s="455" t="s">
        <v>70</v>
      </c>
      <c r="D174" s="455" t="s">
        <v>125</v>
      </c>
      <c r="E174" s="439"/>
      <c r="F174" s="439"/>
      <c r="G174" s="455" t="s">
        <v>129</v>
      </c>
      <c r="H174" s="455">
        <v>1.0</v>
      </c>
      <c r="I174" s="495">
        <v>0.006944444444444444</v>
      </c>
      <c r="J174" s="459"/>
      <c r="K174" s="458"/>
      <c r="L174" s="455">
        <v>2.0</v>
      </c>
      <c r="M174" s="461" t="s">
        <v>229</v>
      </c>
      <c r="N174" s="413"/>
      <c r="O174" s="413"/>
      <c r="P174" s="413"/>
      <c r="Q174" s="413"/>
      <c r="R174" s="413"/>
      <c r="S174" s="413"/>
      <c r="T174" s="413"/>
      <c r="U174" s="413"/>
      <c r="V174" s="413"/>
      <c r="W174" s="413"/>
      <c r="X174" s="413"/>
      <c r="Y174" s="413"/>
      <c r="Z174" s="413"/>
    </row>
    <row r="175" hidden="1">
      <c r="A175" s="493">
        <v>45989.0</v>
      </c>
      <c r="B175" s="461" t="s">
        <v>71</v>
      </c>
      <c r="C175" s="455" t="s">
        <v>70</v>
      </c>
      <c r="D175" s="455" t="s">
        <v>125</v>
      </c>
      <c r="E175" s="439"/>
      <c r="F175" s="439"/>
      <c r="G175" s="455" t="s">
        <v>129</v>
      </c>
      <c r="H175" s="455">
        <v>1.0</v>
      </c>
      <c r="I175" s="495">
        <v>0.015277777777777777</v>
      </c>
      <c r="J175" s="459"/>
      <c r="K175" s="458"/>
      <c r="L175" s="455">
        <v>2.0</v>
      </c>
      <c r="M175" s="461" t="s">
        <v>230</v>
      </c>
      <c r="N175" s="413"/>
      <c r="O175" s="413"/>
      <c r="P175" s="413"/>
      <c r="Q175" s="413"/>
      <c r="R175" s="413"/>
      <c r="S175" s="413"/>
      <c r="T175" s="413"/>
      <c r="U175" s="413"/>
      <c r="V175" s="413"/>
      <c r="W175" s="413"/>
      <c r="X175" s="413"/>
      <c r="Y175" s="413"/>
      <c r="Z175" s="413"/>
    </row>
    <row r="176" hidden="1">
      <c r="A176" s="493">
        <v>46002.0</v>
      </c>
      <c r="B176" s="461" t="s">
        <v>71</v>
      </c>
      <c r="C176" s="455" t="s">
        <v>70</v>
      </c>
      <c r="D176" s="455" t="s">
        <v>131</v>
      </c>
      <c r="E176" s="439"/>
      <c r="F176" s="439"/>
      <c r="G176" s="455" t="s">
        <v>134</v>
      </c>
      <c r="H176" s="455">
        <v>1.0</v>
      </c>
      <c r="I176" s="495">
        <v>0.004861111111111111</v>
      </c>
      <c r="J176" s="459"/>
      <c r="K176" s="458"/>
      <c r="L176" s="454"/>
      <c r="M176" s="461" t="s">
        <v>231</v>
      </c>
      <c r="N176" s="413"/>
      <c r="O176" s="413"/>
      <c r="P176" s="413"/>
      <c r="Q176" s="413"/>
      <c r="R176" s="413"/>
      <c r="S176" s="413"/>
      <c r="T176" s="413"/>
      <c r="U176" s="413"/>
      <c r="V176" s="413"/>
      <c r="W176" s="413"/>
      <c r="X176" s="413"/>
      <c r="Y176" s="413"/>
      <c r="Z176" s="413"/>
    </row>
    <row r="177" hidden="1">
      <c r="A177" s="493">
        <v>45996.0</v>
      </c>
      <c r="B177" s="461" t="s">
        <v>71</v>
      </c>
      <c r="C177" s="455" t="s">
        <v>70</v>
      </c>
      <c r="D177" s="455" t="s">
        <v>125</v>
      </c>
      <c r="E177" s="439"/>
      <c r="F177" s="439"/>
      <c r="G177" s="455" t="s">
        <v>134</v>
      </c>
      <c r="H177" s="455">
        <v>1.0</v>
      </c>
      <c r="I177" s="495">
        <v>0.0763888888888889</v>
      </c>
      <c r="J177" s="459"/>
      <c r="K177" s="458"/>
      <c r="L177" s="454"/>
      <c r="M177" s="461" t="s">
        <v>232</v>
      </c>
      <c r="N177" s="413"/>
      <c r="O177" s="413"/>
      <c r="P177" s="413"/>
      <c r="Q177" s="413"/>
      <c r="R177" s="413"/>
      <c r="S177" s="413"/>
      <c r="T177" s="413"/>
      <c r="U177" s="413"/>
      <c r="V177" s="413"/>
      <c r="W177" s="413"/>
      <c r="X177" s="413"/>
      <c r="Y177" s="413"/>
      <c r="Z177" s="413"/>
    </row>
    <row r="178" hidden="1">
      <c r="A178" s="493">
        <v>46009.0</v>
      </c>
      <c r="B178" s="461" t="s">
        <v>84</v>
      </c>
      <c r="C178" s="455" t="s">
        <v>70</v>
      </c>
      <c r="D178" s="455" t="s">
        <v>125</v>
      </c>
      <c r="E178" s="439"/>
      <c r="F178" s="439"/>
      <c r="G178" s="455" t="s">
        <v>134</v>
      </c>
      <c r="H178" s="455">
        <v>1.0</v>
      </c>
      <c r="I178" s="495">
        <v>0.022916666666666665</v>
      </c>
      <c r="J178" s="459"/>
      <c r="K178" s="458"/>
      <c r="L178" s="454"/>
      <c r="M178" s="461" t="s">
        <v>233</v>
      </c>
      <c r="N178" s="413"/>
      <c r="O178" s="413"/>
      <c r="P178" s="413"/>
      <c r="Q178" s="413"/>
      <c r="R178" s="413"/>
      <c r="S178" s="413"/>
      <c r="T178" s="413"/>
      <c r="U178" s="413"/>
      <c r="V178" s="413"/>
      <c r="W178" s="413"/>
      <c r="X178" s="413"/>
      <c r="Y178" s="413"/>
      <c r="Z178" s="413"/>
    </row>
    <row r="179" hidden="1">
      <c r="A179" s="493">
        <v>46009.0</v>
      </c>
      <c r="B179" s="461" t="s">
        <v>84</v>
      </c>
      <c r="C179" s="455" t="s">
        <v>70</v>
      </c>
      <c r="D179" s="455" t="s">
        <v>125</v>
      </c>
      <c r="E179" s="439"/>
      <c r="F179" s="439"/>
      <c r="G179" s="455" t="s">
        <v>134</v>
      </c>
      <c r="H179" s="455">
        <v>1.0</v>
      </c>
      <c r="I179" s="495">
        <v>0.009027777777777777</v>
      </c>
      <c r="J179" s="459"/>
      <c r="K179" s="458"/>
      <c r="L179" s="454"/>
      <c r="M179" s="461" t="s">
        <v>234</v>
      </c>
      <c r="N179" s="413"/>
      <c r="O179" s="413"/>
      <c r="P179" s="413"/>
      <c r="Q179" s="413"/>
      <c r="R179" s="413"/>
      <c r="S179" s="413"/>
      <c r="T179" s="413"/>
      <c r="U179" s="413"/>
      <c r="V179" s="413"/>
      <c r="W179" s="413"/>
      <c r="X179" s="413"/>
      <c r="Y179" s="413"/>
      <c r="Z179" s="413"/>
    </row>
    <row r="180" hidden="1">
      <c r="A180" s="493">
        <v>46015.0</v>
      </c>
      <c r="B180" s="461" t="s">
        <v>84</v>
      </c>
      <c r="C180" s="455" t="s">
        <v>70</v>
      </c>
      <c r="D180" s="455" t="s">
        <v>125</v>
      </c>
      <c r="E180" s="439"/>
      <c r="F180" s="439"/>
      <c r="G180" s="455" t="s">
        <v>134</v>
      </c>
      <c r="H180" s="455">
        <v>2.0</v>
      </c>
      <c r="I180" s="499">
        <v>0.017361111111111112</v>
      </c>
      <c r="J180" s="459"/>
      <c r="K180" s="458"/>
      <c r="L180" s="454"/>
      <c r="M180" s="461" t="s">
        <v>235</v>
      </c>
      <c r="N180" s="413"/>
      <c r="O180" s="413"/>
      <c r="P180" s="413"/>
      <c r="Q180" s="413"/>
      <c r="R180" s="413"/>
      <c r="S180" s="413"/>
      <c r="T180" s="413"/>
      <c r="U180" s="413"/>
      <c r="V180" s="413"/>
      <c r="W180" s="413"/>
      <c r="X180" s="413"/>
      <c r="Y180" s="413"/>
      <c r="Z180" s="413"/>
    </row>
    <row r="181" hidden="1">
      <c r="A181" s="493">
        <v>46021.0</v>
      </c>
      <c r="B181" s="461" t="s">
        <v>84</v>
      </c>
      <c r="C181" s="455" t="s">
        <v>70</v>
      </c>
      <c r="D181" s="455" t="s">
        <v>125</v>
      </c>
      <c r="E181" s="439"/>
      <c r="F181" s="439"/>
      <c r="G181" s="455" t="s">
        <v>134</v>
      </c>
      <c r="H181" s="455">
        <v>2.0</v>
      </c>
      <c r="I181" s="495">
        <v>0.020833333333333332</v>
      </c>
      <c r="J181" s="459"/>
      <c r="K181" s="458"/>
      <c r="L181" s="454"/>
      <c r="M181" s="461" t="s">
        <v>236</v>
      </c>
      <c r="N181" s="413"/>
      <c r="O181" s="413"/>
      <c r="P181" s="413"/>
      <c r="Q181" s="413"/>
      <c r="R181" s="413"/>
      <c r="S181" s="413"/>
      <c r="T181" s="413"/>
      <c r="U181" s="413"/>
      <c r="V181" s="413"/>
      <c r="W181" s="413"/>
      <c r="X181" s="413"/>
      <c r="Y181" s="413"/>
      <c r="Z181" s="413"/>
    </row>
    <row r="182" hidden="1">
      <c r="A182" s="496">
        <v>46017.0</v>
      </c>
      <c r="B182" s="461" t="s">
        <v>80</v>
      </c>
      <c r="C182" s="455" t="s">
        <v>55</v>
      </c>
      <c r="D182" s="455" t="s">
        <v>125</v>
      </c>
      <c r="E182" s="439"/>
      <c r="F182" s="439"/>
      <c r="G182" s="455" t="s">
        <v>129</v>
      </c>
      <c r="H182" s="455">
        <v>1.0</v>
      </c>
      <c r="I182" s="497">
        <v>0.016666666666666666</v>
      </c>
      <c r="J182" s="459"/>
      <c r="K182" s="458"/>
      <c r="L182" s="454"/>
      <c r="M182" s="491" t="s">
        <v>32</v>
      </c>
      <c r="N182" s="413"/>
      <c r="O182" s="413"/>
      <c r="P182" s="413"/>
      <c r="Q182" s="413"/>
      <c r="R182" s="413"/>
      <c r="S182" s="413"/>
      <c r="T182" s="413"/>
      <c r="U182" s="413"/>
      <c r="V182" s="413"/>
      <c r="W182" s="413"/>
      <c r="X182" s="413"/>
      <c r="Y182" s="413"/>
      <c r="Z182" s="413"/>
    </row>
    <row r="183">
      <c r="A183" s="492">
        <v>46033.0</v>
      </c>
      <c r="B183" s="461" t="s">
        <v>83</v>
      </c>
      <c r="C183" s="455" t="s">
        <v>70</v>
      </c>
      <c r="D183" s="455" t="s">
        <v>125</v>
      </c>
      <c r="E183" s="439"/>
      <c r="F183" s="439"/>
      <c r="G183" s="455" t="s">
        <v>134</v>
      </c>
      <c r="H183" s="455">
        <v>2.0</v>
      </c>
      <c r="I183" s="490">
        <v>0.1111111111111111</v>
      </c>
      <c r="J183" s="459"/>
      <c r="K183" s="458"/>
      <c r="L183" s="454"/>
      <c r="M183" s="461" t="s">
        <v>237</v>
      </c>
      <c r="N183" s="413"/>
      <c r="O183" s="413"/>
      <c r="P183" s="413"/>
      <c r="Q183" s="413"/>
      <c r="R183" s="413"/>
      <c r="S183" s="413"/>
      <c r="T183" s="413"/>
      <c r="U183" s="413"/>
      <c r="V183" s="413"/>
      <c r="W183" s="413"/>
      <c r="X183" s="413"/>
      <c r="Y183" s="413"/>
      <c r="Z183" s="413"/>
    </row>
    <row r="184">
      <c r="A184" s="496">
        <v>46031.0</v>
      </c>
      <c r="B184" s="461" t="s">
        <v>80</v>
      </c>
      <c r="C184" s="455" t="s">
        <v>55</v>
      </c>
      <c r="D184" s="455" t="s">
        <v>125</v>
      </c>
      <c r="E184" s="439"/>
      <c r="F184" s="439"/>
      <c r="G184" s="455" t="s">
        <v>238</v>
      </c>
      <c r="H184" s="455">
        <v>3.0</v>
      </c>
      <c r="I184" s="497">
        <v>0.06041666666666667</v>
      </c>
      <c r="J184" s="459"/>
      <c r="K184" s="458"/>
      <c r="L184" s="454"/>
      <c r="M184" s="491" t="s">
        <v>238</v>
      </c>
      <c r="N184" s="413"/>
      <c r="O184" s="413"/>
      <c r="P184" s="413"/>
      <c r="Q184" s="413"/>
      <c r="R184" s="413"/>
      <c r="S184" s="413"/>
      <c r="T184" s="413"/>
      <c r="U184" s="413"/>
      <c r="V184" s="413"/>
      <c r="W184" s="413"/>
      <c r="X184" s="413"/>
      <c r="Y184" s="413"/>
      <c r="Z184" s="413"/>
    </row>
    <row r="185">
      <c r="A185" s="496">
        <v>46031.0</v>
      </c>
      <c r="B185" s="461" t="s">
        <v>67</v>
      </c>
      <c r="C185" s="455" t="s">
        <v>55</v>
      </c>
      <c r="D185" s="455" t="s">
        <v>125</v>
      </c>
      <c r="E185" s="439"/>
      <c r="F185" s="439"/>
      <c r="G185" s="455" t="s">
        <v>238</v>
      </c>
      <c r="H185" s="455">
        <v>1.0</v>
      </c>
      <c r="I185" s="497">
        <v>0.016666666666666666</v>
      </c>
      <c r="J185" s="459"/>
      <c r="K185" s="458"/>
      <c r="L185" s="454"/>
      <c r="M185" s="491" t="s">
        <v>238</v>
      </c>
      <c r="N185" s="413"/>
      <c r="O185" s="413"/>
      <c r="P185" s="413"/>
      <c r="Q185" s="413"/>
      <c r="R185" s="413"/>
      <c r="S185" s="413"/>
      <c r="T185" s="413"/>
      <c r="U185" s="413"/>
      <c r="V185" s="413"/>
      <c r="W185" s="413"/>
      <c r="X185" s="413"/>
      <c r="Y185" s="413"/>
      <c r="Z185" s="413"/>
    </row>
    <row r="186">
      <c r="A186" s="496">
        <v>46031.0</v>
      </c>
      <c r="B186" s="461" t="s">
        <v>67</v>
      </c>
      <c r="C186" s="455" t="s">
        <v>55</v>
      </c>
      <c r="D186" s="455" t="s">
        <v>125</v>
      </c>
      <c r="E186" s="439"/>
      <c r="F186" s="439"/>
      <c r="G186" s="455" t="s">
        <v>134</v>
      </c>
      <c r="H186" s="455">
        <v>1.0</v>
      </c>
      <c r="I186" s="497">
        <v>0.01875</v>
      </c>
      <c r="J186" s="459"/>
      <c r="K186" s="458"/>
      <c r="L186" s="454"/>
      <c r="M186" s="491" t="s">
        <v>32</v>
      </c>
      <c r="N186" s="413"/>
      <c r="O186" s="413"/>
      <c r="P186" s="413"/>
      <c r="Q186" s="413"/>
      <c r="R186" s="413"/>
      <c r="S186" s="413"/>
      <c r="T186" s="413"/>
      <c r="U186" s="413"/>
      <c r="V186" s="413"/>
      <c r="W186" s="413"/>
      <c r="X186" s="413"/>
      <c r="Y186" s="413"/>
      <c r="Z186" s="413"/>
    </row>
    <row r="187">
      <c r="A187" s="496">
        <v>46035.0</v>
      </c>
      <c r="B187" s="461" t="s">
        <v>67</v>
      </c>
      <c r="C187" s="455" t="s">
        <v>55</v>
      </c>
      <c r="D187" s="455" t="s">
        <v>131</v>
      </c>
      <c r="E187" s="439"/>
      <c r="F187" s="439"/>
      <c r="G187" s="455" t="s">
        <v>134</v>
      </c>
      <c r="H187" s="455">
        <v>4.0</v>
      </c>
      <c r="I187" s="497">
        <v>0.04861111111111111</v>
      </c>
      <c r="J187" s="459"/>
      <c r="K187" s="458"/>
      <c r="L187" s="454"/>
      <c r="M187" s="491" t="s">
        <v>32</v>
      </c>
      <c r="N187" s="413"/>
      <c r="O187" s="413"/>
      <c r="P187" s="413"/>
      <c r="Q187" s="413"/>
      <c r="R187" s="413"/>
      <c r="S187" s="413"/>
      <c r="T187" s="413"/>
      <c r="U187" s="413"/>
      <c r="V187" s="413"/>
      <c r="W187" s="413"/>
      <c r="X187" s="413"/>
      <c r="Y187" s="413"/>
      <c r="Z187" s="413"/>
    </row>
    <row r="188">
      <c r="A188" s="496">
        <v>46035.0</v>
      </c>
      <c r="B188" s="461" t="s">
        <v>80</v>
      </c>
      <c r="C188" s="455" t="s">
        <v>55</v>
      </c>
      <c r="D188" s="455" t="s">
        <v>131</v>
      </c>
      <c r="E188" s="439"/>
      <c r="F188" s="439"/>
      <c r="G188" s="455" t="s">
        <v>134</v>
      </c>
      <c r="H188" s="455">
        <v>2.0</v>
      </c>
      <c r="I188" s="499">
        <v>0.024305555555555556</v>
      </c>
      <c r="J188" s="459"/>
      <c r="K188" s="458"/>
      <c r="L188" s="454"/>
      <c r="M188" s="453"/>
      <c r="N188" s="413"/>
      <c r="O188" s="413"/>
      <c r="P188" s="413"/>
      <c r="Q188" s="413"/>
      <c r="R188" s="413"/>
      <c r="S188" s="413"/>
      <c r="T188" s="413"/>
      <c r="U188" s="413"/>
      <c r="V188" s="413"/>
      <c r="W188" s="413"/>
      <c r="X188" s="413"/>
      <c r="Y188" s="413"/>
      <c r="Z188" s="413"/>
    </row>
    <row r="189">
      <c r="A189" s="496">
        <v>46036.0</v>
      </c>
      <c r="B189" s="461" t="s">
        <v>67</v>
      </c>
      <c r="C189" s="455" t="s">
        <v>55</v>
      </c>
      <c r="D189" s="455" t="s">
        <v>131</v>
      </c>
      <c r="E189" s="439"/>
      <c r="F189" s="439"/>
      <c r="G189" s="455" t="s">
        <v>134</v>
      </c>
      <c r="H189" s="455">
        <v>1.0</v>
      </c>
      <c r="I189" s="497">
        <v>0.013888888888888888</v>
      </c>
      <c r="J189" s="459"/>
      <c r="K189" s="458"/>
      <c r="L189" s="454"/>
      <c r="M189" s="491" t="s">
        <v>35</v>
      </c>
      <c r="N189" s="413"/>
      <c r="O189" s="413"/>
      <c r="P189" s="413"/>
      <c r="Q189" s="413"/>
      <c r="R189" s="413"/>
      <c r="S189" s="413"/>
      <c r="T189" s="413"/>
      <c r="U189" s="413"/>
      <c r="V189" s="413"/>
      <c r="W189" s="413"/>
      <c r="X189" s="413"/>
      <c r="Y189" s="413"/>
      <c r="Z189" s="413"/>
    </row>
    <row r="190">
      <c r="A190" s="496">
        <v>46036.0</v>
      </c>
      <c r="B190" s="461" t="s">
        <v>80</v>
      </c>
      <c r="C190" s="455" t="s">
        <v>55</v>
      </c>
      <c r="D190" s="455" t="s">
        <v>131</v>
      </c>
      <c r="E190" s="439"/>
      <c r="F190" s="439"/>
      <c r="G190" s="455" t="s">
        <v>134</v>
      </c>
      <c r="H190" s="455">
        <v>1.0</v>
      </c>
      <c r="I190" s="497">
        <v>0.029166666666666667</v>
      </c>
      <c r="J190" s="459"/>
      <c r="K190" s="458"/>
      <c r="L190" s="454"/>
      <c r="M190" s="491" t="s">
        <v>32</v>
      </c>
      <c r="N190" s="413"/>
      <c r="O190" s="413"/>
      <c r="P190" s="413"/>
      <c r="Q190" s="413"/>
      <c r="R190" s="413"/>
      <c r="S190" s="413"/>
      <c r="T190" s="413"/>
      <c r="U190" s="413"/>
      <c r="V190" s="413"/>
      <c r="W190" s="413"/>
      <c r="X190" s="413"/>
      <c r="Y190" s="413"/>
      <c r="Z190" s="413"/>
    </row>
    <row r="191">
      <c r="A191" s="493">
        <v>46043.0</v>
      </c>
      <c r="B191" s="461" t="s">
        <v>80</v>
      </c>
      <c r="C191" s="455" t="s">
        <v>55</v>
      </c>
      <c r="D191" s="455" t="s">
        <v>125</v>
      </c>
      <c r="E191" s="439"/>
      <c r="F191" s="439"/>
      <c r="G191" s="455" t="s">
        <v>134</v>
      </c>
      <c r="H191" s="455">
        <v>1.0</v>
      </c>
      <c r="I191" s="495">
        <v>0.022222222222222223</v>
      </c>
      <c r="J191" s="459"/>
      <c r="K191" s="458"/>
      <c r="L191" s="454"/>
      <c r="M191" s="461" t="s">
        <v>239</v>
      </c>
      <c r="N191" s="413"/>
      <c r="O191" s="413"/>
      <c r="P191" s="413"/>
      <c r="Q191" s="413"/>
      <c r="R191" s="413"/>
      <c r="S191" s="413"/>
      <c r="T191" s="413"/>
      <c r="U191" s="413"/>
      <c r="V191" s="413"/>
      <c r="W191" s="413"/>
      <c r="X191" s="413"/>
      <c r="Y191" s="413"/>
      <c r="Z191" s="413"/>
    </row>
    <row r="192">
      <c r="A192" s="493">
        <v>46043.0</v>
      </c>
      <c r="B192" s="461" t="s">
        <v>80</v>
      </c>
      <c r="C192" s="455" t="s">
        <v>55</v>
      </c>
      <c r="D192" s="455" t="s">
        <v>125</v>
      </c>
      <c r="E192" s="439"/>
      <c r="F192" s="439"/>
      <c r="G192" s="455" t="s">
        <v>134</v>
      </c>
      <c r="H192" s="455">
        <v>1.0</v>
      </c>
      <c r="I192" s="495">
        <v>0.030555555555555555</v>
      </c>
      <c r="J192" s="459"/>
      <c r="K192" s="458"/>
      <c r="L192" s="454"/>
      <c r="M192" s="461" t="s">
        <v>240</v>
      </c>
      <c r="N192" s="413"/>
      <c r="O192" s="413"/>
      <c r="P192" s="413"/>
      <c r="Q192" s="413"/>
      <c r="R192" s="413"/>
      <c r="S192" s="413"/>
      <c r="T192" s="413"/>
      <c r="U192" s="413"/>
      <c r="V192" s="413"/>
      <c r="W192" s="413"/>
      <c r="X192" s="413"/>
      <c r="Y192" s="413"/>
      <c r="Z192" s="413"/>
    </row>
    <row r="193">
      <c r="A193" s="493">
        <v>46025.0</v>
      </c>
      <c r="B193" s="461" t="s">
        <v>84</v>
      </c>
      <c r="C193" s="455" t="s">
        <v>70</v>
      </c>
      <c r="D193" s="455" t="s">
        <v>125</v>
      </c>
      <c r="E193" s="439"/>
      <c r="F193" s="439"/>
      <c r="G193" s="455" t="s">
        <v>134</v>
      </c>
      <c r="H193" s="455">
        <v>1.0</v>
      </c>
      <c r="I193" s="495">
        <v>0.011805555555555555</v>
      </c>
      <c r="J193" s="459"/>
      <c r="K193" s="458"/>
      <c r="L193" s="454"/>
      <c r="M193" s="461" t="s">
        <v>241</v>
      </c>
      <c r="N193" s="413"/>
      <c r="O193" s="413"/>
      <c r="P193" s="413"/>
      <c r="Q193" s="413"/>
      <c r="R193" s="413"/>
      <c r="S193" s="413"/>
      <c r="T193" s="413"/>
      <c r="U193" s="413"/>
      <c r="V193" s="413"/>
      <c r="W193" s="413"/>
      <c r="X193" s="413"/>
      <c r="Y193" s="413"/>
      <c r="Z193" s="413"/>
    </row>
    <row r="194">
      <c r="A194" s="493">
        <v>46025.0</v>
      </c>
      <c r="B194" s="461" t="s">
        <v>84</v>
      </c>
      <c r="C194" s="455" t="s">
        <v>70</v>
      </c>
      <c r="D194" s="455" t="s">
        <v>125</v>
      </c>
      <c r="E194" s="439"/>
      <c r="F194" s="439"/>
      <c r="G194" s="455" t="s">
        <v>134</v>
      </c>
      <c r="H194" s="455">
        <v>1.0</v>
      </c>
      <c r="I194" s="495">
        <v>0.008333333333333333</v>
      </c>
      <c r="J194" s="459"/>
      <c r="K194" s="458"/>
      <c r="L194" s="454"/>
      <c r="M194" s="461" t="s">
        <v>242</v>
      </c>
      <c r="N194" s="413"/>
      <c r="O194" s="413"/>
      <c r="P194" s="413"/>
      <c r="Q194" s="413"/>
      <c r="R194" s="413"/>
      <c r="S194" s="413"/>
      <c r="T194" s="413"/>
      <c r="U194" s="413"/>
      <c r="V194" s="413"/>
      <c r="W194" s="413"/>
      <c r="X194" s="413"/>
      <c r="Y194" s="413"/>
      <c r="Z194" s="413"/>
    </row>
    <row r="195">
      <c r="A195" s="493">
        <v>46026.0</v>
      </c>
      <c r="B195" s="461" t="s">
        <v>84</v>
      </c>
      <c r="C195" s="455" t="s">
        <v>70</v>
      </c>
      <c r="D195" s="455" t="s">
        <v>125</v>
      </c>
      <c r="E195" s="439"/>
      <c r="F195" s="439"/>
      <c r="G195" s="455" t="s">
        <v>134</v>
      </c>
      <c r="H195" s="455">
        <v>2.0</v>
      </c>
      <c r="I195" s="495">
        <v>0.019444444444444445</v>
      </c>
      <c r="J195" s="459"/>
      <c r="K195" s="458"/>
      <c r="L195" s="454"/>
      <c r="M195" s="461" t="s">
        <v>243</v>
      </c>
      <c r="N195" s="413"/>
      <c r="O195" s="413"/>
      <c r="P195" s="413"/>
      <c r="Q195" s="413"/>
      <c r="R195" s="413"/>
      <c r="S195" s="413"/>
      <c r="T195" s="413"/>
      <c r="U195" s="413"/>
      <c r="V195" s="413"/>
      <c r="W195" s="413"/>
      <c r="X195" s="413"/>
      <c r="Y195" s="413"/>
      <c r="Z195" s="413"/>
    </row>
    <row r="196">
      <c r="A196" s="493">
        <v>46026.0</v>
      </c>
      <c r="B196" s="461" t="s">
        <v>84</v>
      </c>
      <c r="C196" s="455" t="s">
        <v>70</v>
      </c>
      <c r="D196" s="455" t="s">
        <v>125</v>
      </c>
      <c r="E196" s="439"/>
      <c r="F196" s="439"/>
      <c r="G196" s="455" t="s">
        <v>129</v>
      </c>
      <c r="H196" s="455">
        <v>1.0</v>
      </c>
      <c r="I196" s="495">
        <v>0.02361111111111111</v>
      </c>
      <c r="J196" s="459"/>
      <c r="K196" s="458"/>
      <c r="L196" s="454"/>
      <c r="M196" s="461" t="s">
        <v>244</v>
      </c>
      <c r="N196" s="413"/>
      <c r="O196" s="413"/>
      <c r="P196" s="413"/>
      <c r="Q196" s="413"/>
      <c r="R196" s="413"/>
      <c r="S196" s="413"/>
      <c r="T196" s="413"/>
      <c r="U196" s="413"/>
      <c r="V196" s="413"/>
      <c r="W196" s="413"/>
      <c r="X196" s="413"/>
      <c r="Y196" s="413"/>
      <c r="Z196" s="413"/>
    </row>
    <row r="197">
      <c r="A197" s="493">
        <v>46043.0</v>
      </c>
      <c r="B197" s="461" t="s">
        <v>84</v>
      </c>
      <c r="C197" s="455" t="s">
        <v>70</v>
      </c>
      <c r="D197" s="455" t="s">
        <v>125</v>
      </c>
      <c r="E197" s="439"/>
      <c r="F197" s="439"/>
      <c r="G197" s="455" t="s">
        <v>129</v>
      </c>
      <c r="H197" s="455">
        <v>1.0</v>
      </c>
      <c r="I197" s="495">
        <v>0.041666666666666664</v>
      </c>
      <c r="J197" s="459"/>
      <c r="K197" s="458"/>
      <c r="L197" s="454"/>
      <c r="M197" s="461" t="s">
        <v>245</v>
      </c>
      <c r="N197" s="413"/>
      <c r="O197" s="413"/>
      <c r="P197" s="413"/>
      <c r="Q197" s="413"/>
      <c r="R197" s="413"/>
      <c r="S197" s="413"/>
      <c r="T197" s="413"/>
      <c r="U197" s="413"/>
      <c r="V197" s="413"/>
      <c r="W197" s="413"/>
      <c r="X197" s="413"/>
      <c r="Y197" s="413"/>
      <c r="Z197" s="413"/>
    </row>
    <row r="198">
      <c r="A198" s="496">
        <v>46042.0</v>
      </c>
      <c r="B198" s="461" t="s">
        <v>71</v>
      </c>
      <c r="C198" s="455" t="s">
        <v>70</v>
      </c>
      <c r="D198" s="455" t="s">
        <v>144</v>
      </c>
      <c r="E198" s="439"/>
      <c r="F198" s="439"/>
      <c r="G198" s="455" t="s">
        <v>134</v>
      </c>
      <c r="H198" s="455">
        <v>1.0</v>
      </c>
      <c r="I198" s="497">
        <v>0.003472222222222222</v>
      </c>
      <c r="J198" s="459"/>
      <c r="K198" s="458"/>
      <c r="L198" s="454"/>
      <c r="M198" s="491" t="s">
        <v>198</v>
      </c>
      <c r="N198" s="413"/>
      <c r="O198" s="413"/>
      <c r="P198" s="413"/>
      <c r="Q198" s="413"/>
      <c r="R198" s="413"/>
      <c r="S198" s="413"/>
      <c r="T198" s="413"/>
      <c r="U198" s="413"/>
      <c r="V198" s="413"/>
      <c r="W198" s="413"/>
      <c r="X198" s="413"/>
      <c r="Y198" s="413"/>
      <c r="Z198" s="413"/>
    </row>
    <row r="199">
      <c r="A199" s="492">
        <v>46033.0</v>
      </c>
      <c r="B199" s="461" t="s">
        <v>83</v>
      </c>
      <c r="C199" s="455" t="s">
        <v>70</v>
      </c>
      <c r="D199" s="455" t="s">
        <v>125</v>
      </c>
      <c r="E199" s="439"/>
      <c r="F199" s="439"/>
      <c r="G199" s="455" t="s">
        <v>134</v>
      </c>
      <c r="H199" s="455">
        <v>2.0</v>
      </c>
      <c r="I199" s="490">
        <v>0.06944444444444445</v>
      </c>
      <c r="J199" s="459"/>
      <c r="K199" s="458"/>
      <c r="L199" s="455">
        <v>0.0</v>
      </c>
      <c r="M199" s="461" t="s">
        <v>246</v>
      </c>
      <c r="N199" s="413"/>
      <c r="O199" s="413"/>
      <c r="P199" s="413"/>
      <c r="Q199" s="413"/>
      <c r="R199" s="413"/>
      <c r="S199" s="413"/>
      <c r="T199" s="413"/>
      <c r="U199" s="413"/>
      <c r="V199" s="413"/>
      <c r="W199" s="413"/>
      <c r="X199" s="413"/>
      <c r="Y199" s="413"/>
      <c r="Z199" s="413"/>
    </row>
    <row r="200">
      <c r="A200" s="452"/>
      <c r="B200" s="453"/>
      <c r="C200" s="454"/>
      <c r="D200" s="454"/>
      <c r="E200" s="439"/>
      <c r="F200" s="439"/>
      <c r="G200" s="454"/>
      <c r="H200" s="454"/>
      <c r="I200" s="456"/>
      <c r="J200" s="459"/>
      <c r="K200" s="458"/>
      <c r="L200" s="454"/>
      <c r="M200" s="453"/>
      <c r="N200" s="413"/>
      <c r="O200" s="413"/>
      <c r="P200" s="413"/>
      <c r="Q200" s="413"/>
      <c r="R200" s="413"/>
      <c r="S200" s="413"/>
      <c r="T200" s="413"/>
      <c r="U200" s="413"/>
      <c r="V200" s="413"/>
      <c r="W200" s="413"/>
      <c r="X200" s="413"/>
      <c r="Y200" s="413"/>
      <c r="Z200" s="413"/>
    </row>
    <row r="201">
      <c r="A201" s="452"/>
      <c r="B201" s="453"/>
      <c r="C201" s="454"/>
      <c r="D201" s="454"/>
      <c r="E201" s="439"/>
      <c r="F201" s="439"/>
      <c r="G201" s="454"/>
      <c r="H201" s="454"/>
      <c r="I201" s="456"/>
      <c r="J201" s="459"/>
      <c r="K201" s="458"/>
      <c r="L201" s="454"/>
      <c r="M201" s="453"/>
      <c r="N201" s="413"/>
      <c r="O201" s="413"/>
      <c r="P201" s="413"/>
      <c r="Q201" s="413"/>
      <c r="R201" s="413"/>
      <c r="S201" s="413"/>
      <c r="T201" s="413"/>
      <c r="U201" s="413"/>
      <c r="V201" s="413"/>
      <c r="W201" s="413"/>
      <c r="X201" s="413"/>
      <c r="Y201" s="413"/>
      <c r="Z201" s="413"/>
    </row>
    <row r="202">
      <c r="A202" s="452"/>
      <c r="B202" s="453"/>
      <c r="C202" s="454"/>
      <c r="D202" s="454"/>
      <c r="E202" s="439"/>
      <c r="F202" s="439"/>
      <c r="G202" s="454"/>
      <c r="H202" s="454"/>
      <c r="I202" s="456"/>
      <c r="J202" s="459"/>
      <c r="K202" s="458"/>
      <c r="L202" s="454"/>
      <c r="M202" s="453"/>
      <c r="N202" s="413"/>
      <c r="O202" s="413"/>
      <c r="P202" s="413"/>
      <c r="Q202" s="413"/>
      <c r="R202" s="413"/>
      <c r="S202" s="413"/>
      <c r="T202" s="413"/>
      <c r="U202" s="413"/>
      <c r="V202" s="413"/>
      <c r="W202" s="413"/>
      <c r="X202" s="413"/>
      <c r="Y202" s="413"/>
      <c r="Z202" s="413"/>
    </row>
    <row r="203">
      <c r="A203" s="452"/>
      <c r="B203" s="453"/>
      <c r="C203" s="454"/>
      <c r="D203" s="454"/>
      <c r="E203" s="439"/>
      <c r="F203" s="439"/>
      <c r="G203" s="454"/>
      <c r="H203" s="454"/>
      <c r="I203" s="456"/>
      <c r="J203" s="459"/>
      <c r="K203" s="458"/>
      <c r="L203" s="454"/>
      <c r="M203" s="453"/>
      <c r="N203" s="413"/>
      <c r="O203" s="413"/>
      <c r="P203" s="413"/>
      <c r="Q203" s="413"/>
      <c r="R203" s="413"/>
      <c r="S203" s="413"/>
      <c r="T203" s="413"/>
      <c r="U203" s="413"/>
      <c r="V203" s="413"/>
      <c r="W203" s="413"/>
      <c r="X203" s="413"/>
      <c r="Y203" s="413"/>
      <c r="Z203" s="413"/>
    </row>
    <row r="204">
      <c r="A204" s="452"/>
      <c r="B204" s="453"/>
      <c r="C204" s="454"/>
      <c r="D204" s="454"/>
      <c r="E204" s="439"/>
      <c r="F204" s="439"/>
      <c r="G204" s="454"/>
      <c r="H204" s="454"/>
      <c r="I204" s="456"/>
      <c r="J204" s="459"/>
      <c r="K204" s="458"/>
      <c r="L204" s="454"/>
      <c r="M204" s="453"/>
      <c r="N204" s="413"/>
      <c r="O204" s="413"/>
      <c r="P204" s="413"/>
      <c r="Q204" s="413"/>
      <c r="R204" s="413"/>
      <c r="S204" s="413"/>
      <c r="T204" s="413"/>
      <c r="U204" s="413"/>
      <c r="V204" s="413"/>
      <c r="W204" s="413"/>
      <c r="X204" s="413"/>
      <c r="Y204" s="413"/>
      <c r="Z204" s="413"/>
    </row>
    <row r="205">
      <c r="A205" s="452"/>
      <c r="B205" s="453"/>
      <c r="C205" s="454"/>
      <c r="D205" s="454"/>
      <c r="E205" s="439"/>
      <c r="F205" s="439"/>
      <c r="G205" s="454"/>
      <c r="H205" s="454"/>
      <c r="I205" s="456"/>
      <c r="J205" s="459"/>
      <c r="K205" s="458"/>
      <c r="L205" s="454"/>
      <c r="M205" s="453"/>
      <c r="N205" s="413"/>
      <c r="O205" s="413"/>
      <c r="P205" s="413"/>
      <c r="Q205" s="413"/>
      <c r="R205" s="413"/>
      <c r="S205" s="413"/>
      <c r="T205" s="413"/>
      <c r="U205" s="413"/>
      <c r="V205" s="413"/>
      <c r="W205" s="413"/>
      <c r="X205" s="413"/>
      <c r="Y205" s="413"/>
      <c r="Z205" s="413"/>
    </row>
    <row r="206">
      <c r="A206" s="452"/>
      <c r="B206" s="453"/>
      <c r="C206" s="454"/>
      <c r="D206" s="454"/>
      <c r="E206" s="439"/>
      <c r="F206" s="439"/>
      <c r="G206" s="454"/>
      <c r="H206" s="454"/>
      <c r="I206" s="456"/>
      <c r="J206" s="459"/>
      <c r="K206" s="458"/>
      <c r="L206" s="454"/>
      <c r="M206" s="453"/>
      <c r="N206" s="413"/>
      <c r="O206" s="413"/>
      <c r="P206" s="413"/>
      <c r="Q206" s="413"/>
      <c r="R206" s="413"/>
      <c r="S206" s="413"/>
      <c r="T206" s="413"/>
      <c r="U206" s="413"/>
      <c r="V206" s="413"/>
      <c r="W206" s="413"/>
      <c r="X206" s="413"/>
      <c r="Y206" s="413"/>
      <c r="Z206" s="413"/>
    </row>
    <row r="207">
      <c r="A207" s="452"/>
      <c r="B207" s="453"/>
      <c r="C207" s="454"/>
      <c r="D207" s="454"/>
      <c r="E207" s="439"/>
      <c r="F207" s="439"/>
      <c r="G207" s="454"/>
      <c r="H207" s="454"/>
      <c r="I207" s="456"/>
      <c r="J207" s="459"/>
      <c r="K207" s="458"/>
      <c r="L207" s="454"/>
      <c r="M207" s="453"/>
      <c r="N207" s="413"/>
      <c r="O207" s="413"/>
      <c r="P207" s="413"/>
      <c r="Q207" s="413"/>
      <c r="R207" s="413"/>
      <c r="S207" s="413"/>
      <c r="T207" s="413"/>
      <c r="U207" s="413"/>
      <c r="V207" s="413"/>
      <c r="W207" s="413"/>
      <c r="X207" s="413"/>
      <c r="Y207" s="413"/>
      <c r="Z207" s="413"/>
    </row>
    <row r="208">
      <c r="A208" s="452"/>
      <c r="B208" s="453"/>
      <c r="C208" s="454"/>
      <c r="D208" s="454"/>
      <c r="E208" s="439"/>
      <c r="F208" s="439"/>
      <c r="G208" s="454"/>
      <c r="H208" s="454"/>
      <c r="I208" s="456"/>
      <c r="J208" s="459"/>
      <c r="K208" s="458"/>
      <c r="L208" s="454"/>
      <c r="M208" s="453"/>
      <c r="N208" s="413"/>
      <c r="O208" s="413"/>
      <c r="P208" s="413"/>
      <c r="Q208" s="413"/>
      <c r="R208" s="413"/>
      <c r="S208" s="413"/>
      <c r="T208" s="413"/>
      <c r="U208" s="413"/>
      <c r="V208" s="413"/>
      <c r="W208" s="413"/>
      <c r="X208" s="413"/>
      <c r="Y208" s="413"/>
      <c r="Z208" s="413"/>
    </row>
    <row r="209">
      <c r="A209" s="452"/>
      <c r="B209" s="453"/>
      <c r="C209" s="454"/>
      <c r="D209" s="454"/>
      <c r="E209" s="439"/>
      <c r="F209" s="439"/>
      <c r="G209" s="454"/>
      <c r="H209" s="454"/>
      <c r="I209" s="456"/>
      <c r="J209" s="459"/>
      <c r="K209" s="458"/>
      <c r="L209" s="454"/>
      <c r="M209" s="453"/>
      <c r="N209" s="413"/>
      <c r="O209" s="413"/>
      <c r="P209" s="413"/>
      <c r="Q209" s="413"/>
      <c r="R209" s="413"/>
      <c r="S209" s="413"/>
      <c r="T209" s="413"/>
      <c r="U209" s="413"/>
      <c r="V209" s="413"/>
      <c r="W209" s="413"/>
      <c r="X209" s="413"/>
      <c r="Y209" s="413"/>
      <c r="Z209" s="413"/>
    </row>
    <row r="210">
      <c r="A210" s="452"/>
      <c r="B210" s="453"/>
      <c r="C210" s="454"/>
      <c r="D210" s="454"/>
      <c r="E210" s="439"/>
      <c r="F210" s="439"/>
      <c r="G210" s="454"/>
      <c r="H210" s="454"/>
      <c r="I210" s="456"/>
      <c r="J210" s="459"/>
      <c r="K210" s="458"/>
      <c r="L210" s="454"/>
      <c r="M210" s="453"/>
      <c r="N210" s="413"/>
      <c r="O210" s="413"/>
      <c r="P210" s="413"/>
      <c r="Q210" s="413"/>
      <c r="R210" s="413"/>
      <c r="S210" s="413"/>
      <c r="T210" s="413"/>
      <c r="U210" s="413"/>
      <c r="V210" s="413"/>
      <c r="W210" s="413"/>
      <c r="X210" s="413"/>
      <c r="Y210" s="413"/>
      <c r="Z210" s="413"/>
    </row>
    <row r="211">
      <c r="A211" s="452"/>
      <c r="B211" s="453"/>
      <c r="C211" s="454"/>
      <c r="D211" s="454"/>
      <c r="E211" s="439"/>
      <c r="F211" s="439"/>
      <c r="G211" s="454"/>
      <c r="H211" s="454"/>
      <c r="I211" s="456"/>
      <c r="J211" s="459"/>
      <c r="K211" s="458"/>
      <c r="L211" s="454"/>
      <c r="M211" s="453"/>
      <c r="N211" s="413"/>
      <c r="O211" s="413"/>
      <c r="P211" s="413"/>
      <c r="Q211" s="413"/>
      <c r="R211" s="413"/>
      <c r="S211" s="413"/>
      <c r="T211" s="413"/>
      <c r="U211" s="413"/>
      <c r="V211" s="413"/>
      <c r="W211" s="413"/>
      <c r="X211" s="413"/>
      <c r="Y211" s="413"/>
      <c r="Z211" s="413"/>
    </row>
    <row r="212">
      <c r="A212" s="452"/>
      <c r="B212" s="453"/>
      <c r="C212" s="454"/>
      <c r="D212" s="454"/>
      <c r="E212" s="439"/>
      <c r="F212" s="439"/>
      <c r="G212" s="454"/>
      <c r="H212" s="454"/>
      <c r="I212" s="456"/>
      <c r="J212" s="459"/>
      <c r="K212" s="458"/>
      <c r="L212" s="454"/>
      <c r="M212" s="453"/>
      <c r="N212" s="413"/>
      <c r="O212" s="413"/>
      <c r="P212" s="413"/>
      <c r="Q212" s="413"/>
      <c r="R212" s="413"/>
      <c r="S212" s="413"/>
      <c r="T212" s="413"/>
      <c r="U212" s="413"/>
      <c r="V212" s="413"/>
      <c r="W212" s="413"/>
      <c r="X212" s="413"/>
      <c r="Y212" s="413"/>
      <c r="Z212" s="413"/>
    </row>
    <row r="213">
      <c r="A213" s="452"/>
      <c r="B213" s="453"/>
      <c r="C213" s="454"/>
      <c r="D213" s="454"/>
      <c r="E213" s="439"/>
      <c r="F213" s="439"/>
      <c r="G213" s="454"/>
      <c r="H213" s="454"/>
      <c r="I213" s="456"/>
      <c r="J213" s="459"/>
      <c r="K213" s="458"/>
      <c r="L213" s="454"/>
      <c r="M213" s="453"/>
      <c r="N213" s="413"/>
      <c r="O213" s="413"/>
      <c r="P213" s="413"/>
      <c r="Q213" s="413"/>
      <c r="R213" s="413"/>
      <c r="S213" s="413"/>
      <c r="T213" s="413"/>
      <c r="U213" s="413"/>
      <c r="V213" s="413"/>
      <c r="W213" s="413"/>
      <c r="X213" s="413"/>
      <c r="Y213" s="413"/>
      <c r="Z213" s="413"/>
    </row>
    <row r="214">
      <c r="A214" s="452"/>
      <c r="B214" s="453"/>
      <c r="C214" s="454"/>
      <c r="D214" s="454"/>
      <c r="E214" s="439"/>
      <c r="F214" s="439"/>
      <c r="G214" s="454"/>
      <c r="H214" s="454"/>
      <c r="I214" s="456"/>
      <c r="J214" s="459"/>
      <c r="K214" s="458"/>
      <c r="L214" s="454"/>
      <c r="M214" s="453"/>
      <c r="N214" s="413"/>
      <c r="O214" s="413"/>
      <c r="P214" s="413"/>
      <c r="Q214" s="413"/>
      <c r="R214" s="413"/>
      <c r="S214" s="413"/>
      <c r="T214" s="413"/>
      <c r="U214" s="413"/>
      <c r="V214" s="413"/>
      <c r="W214" s="413"/>
      <c r="X214" s="413"/>
      <c r="Y214" s="413"/>
      <c r="Z214" s="413"/>
    </row>
    <row r="215">
      <c r="A215" s="452"/>
      <c r="B215" s="453"/>
      <c r="C215" s="454"/>
      <c r="D215" s="454"/>
      <c r="E215" s="439"/>
      <c r="F215" s="439"/>
      <c r="G215" s="454"/>
      <c r="H215" s="454"/>
      <c r="I215" s="456"/>
      <c r="J215" s="459"/>
      <c r="K215" s="458"/>
      <c r="L215" s="454"/>
      <c r="M215" s="453"/>
      <c r="N215" s="413"/>
      <c r="O215" s="413"/>
      <c r="P215" s="413"/>
      <c r="Q215" s="413"/>
      <c r="R215" s="413"/>
      <c r="S215" s="413"/>
      <c r="T215" s="413"/>
      <c r="U215" s="413"/>
      <c r="V215" s="413"/>
      <c r="W215" s="413"/>
      <c r="X215" s="413"/>
      <c r="Y215" s="413"/>
      <c r="Z215" s="413"/>
    </row>
    <row r="216">
      <c r="A216" s="452"/>
      <c r="B216" s="453"/>
      <c r="C216" s="454"/>
      <c r="D216" s="454"/>
      <c r="E216" s="439"/>
      <c r="F216" s="439"/>
      <c r="G216" s="454"/>
      <c r="H216" s="454"/>
      <c r="I216" s="456"/>
      <c r="J216" s="459"/>
      <c r="K216" s="458"/>
      <c r="L216" s="454"/>
      <c r="M216" s="453"/>
      <c r="N216" s="413"/>
      <c r="O216" s="413"/>
      <c r="P216" s="413"/>
      <c r="Q216" s="413"/>
      <c r="R216" s="413"/>
      <c r="S216" s="413"/>
      <c r="T216" s="413"/>
      <c r="U216" s="413"/>
      <c r="V216" s="413"/>
      <c r="W216" s="413"/>
      <c r="X216" s="413"/>
      <c r="Y216" s="413"/>
      <c r="Z216" s="413"/>
    </row>
    <row r="217">
      <c r="A217" s="452"/>
      <c r="B217" s="453"/>
      <c r="C217" s="454"/>
      <c r="D217" s="454"/>
      <c r="E217" s="439"/>
      <c r="F217" s="439"/>
      <c r="G217" s="454"/>
      <c r="H217" s="454"/>
      <c r="I217" s="456"/>
      <c r="J217" s="459"/>
      <c r="K217" s="458"/>
      <c r="L217" s="454"/>
      <c r="M217" s="453"/>
      <c r="N217" s="413"/>
      <c r="O217" s="413"/>
      <c r="P217" s="413"/>
      <c r="Q217" s="413"/>
      <c r="R217" s="413"/>
      <c r="S217" s="413"/>
      <c r="T217" s="413"/>
      <c r="U217" s="413"/>
      <c r="V217" s="413"/>
      <c r="W217" s="413"/>
      <c r="X217" s="413"/>
      <c r="Y217" s="413"/>
      <c r="Z217" s="413"/>
    </row>
    <row r="218">
      <c r="A218" s="452"/>
      <c r="B218" s="453"/>
      <c r="C218" s="454"/>
      <c r="D218" s="454"/>
      <c r="E218" s="439"/>
      <c r="F218" s="439"/>
      <c r="G218" s="454"/>
      <c r="H218" s="454"/>
      <c r="I218" s="456"/>
      <c r="J218" s="459"/>
      <c r="K218" s="458"/>
      <c r="L218" s="454"/>
      <c r="M218" s="453"/>
      <c r="N218" s="413"/>
      <c r="O218" s="413"/>
      <c r="P218" s="413"/>
      <c r="Q218" s="413"/>
      <c r="R218" s="413"/>
      <c r="S218" s="413"/>
      <c r="T218" s="413"/>
      <c r="U218" s="413"/>
      <c r="V218" s="413"/>
      <c r="W218" s="413"/>
      <c r="X218" s="413"/>
      <c r="Y218" s="413"/>
      <c r="Z218" s="413"/>
    </row>
    <row r="219">
      <c r="A219" s="452"/>
      <c r="B219" s="453"/>
      <c r="C219" s="454"/>
      <c r="D219" s="454"/>
      <c r="E219" s="439"/>
      <c r="F219" s="439"/>
      <c r="G219" s="454"/>
      <c r="H219" s="454"/>
      <c r="I219" s="456"/>
      <c r="J219" s="459"/>
      <c r="K219" s="458"/>
      <c r="L219" s="454"/>
      <c r="M219" s="453"/>
      <c r="N219" s="413"/>
      <c r="O219" s="413"/>
      <c r="P219" s="413"/>
      <c r="Q219" s="413"/>
      <c r="R219" s="413"/>
      <c r="S219" s="413"/>
      <c r="T219" s="413"/>
      <c r="U219" s="413"/>
      <c r="V219" s="413"/>
      <c r="W219" s="413"/>
      <c r="X219" s="413"/>
      <c r="Y219" s="413"/>
      <c r="Z219" s="413"/>
    </row>
    <row r="220">
      <c r="A220" s="452"/>
      <c r="B220" s="453"/>
      <c r="C220" s="454"/>
      <c r="D220" s="454"/>
      <c r="E220" s="439"/>
      <c r="F220" s="439"/>
      <c r="G220" s="454"/>
      <c r="H220" s="454"/>
      <c r="I220" s="456"/>
      <c r="J220" s="459"/>
      <c r="K220" s="458"/>
      <c r="L220" s="454"/>
      <c r="M220" s="453"/>
      <c r="N220" s="413"/>
      <c r="O220" s="413"/>
      <c r="P220" s="413"/>
      <c r="Q220" s="413"/>
      <c r="R220" s="413"/>
      <c r="S220" s="413"/>
      <c r="T220" s="413"/>
      <c r="U220" s="413"/>
      <c r="V220" s="413"/>
      <c r="W220" s="413"/>
      <c r="X220" s="413"/>
      <c r="Y220" s="413"/>
      <c r="Z220" s="413"/>
    </row>
    <row r="221">
      <c r="A221" s="452"/>
      <c r="B221" s="453"/>
      <c r="C221" s="454"/>
      <c r="D221" s="454"/>
      <c r="E221" s="439"/>
      <c r="F221" s="439"/>
      <c r="G221" s="454"/>
      <c r="H221" s="454"/>
      <c r="I221" s="456"/>
      <c r="J221" s="459"/>
      <c r="K221" s="458"/>
      <c r="L221" s="454"/>
      <c r="M221" s="453"/>
      <c r="N221" s="413"/>
      <c r="O221" s="413"/>
      <c r="P221" s="413"/>
      <c r="Q221" s="413"/>
      <c r="R221" s="413"/>
      <c r="S221" s="413"/>
      <c r="T221" s="413"/>
      <c r="U221" s="413"/>
      <c r="V221" s="413"/>
      <c r="W221" s="413"/>
      <c r="X221" s="413"/>
      <c r="Y221" s="413"/>
      <c r="Z221" s="413"/>
    </row>
    <row r="222">
      <c r="A222" s="452"/>
      <c r="B222" s="453"/>
      <c r="C222" s="454"/>
      <c r="D222" s="454"/>
      <c r="E222" s="439"/>
      <c r="F222" s="439"/>
      <c r="G222" s="454"/>
      <c r="H222" s="454"/>
      <c r="I222" s="456"/>
      <c r="J222" s="459"/>
      <c r="K222" s="458"/>
      <c r="L222" s="454"/>
      <c r="M222" s="453"/>
      <c r="N222" s="413"/>
      <c r="O222" s="413"/>
      <c r="P222" s="413"/>
      <c r="Q222" s="413"/>
      <c r="R222" s="413"/>
      <c r="S222" s="413"/>
      <c r="T222" s="413"/>
      <c r="U222" s="413"/>
      <c r="V222" s="413"/>
      <c r="W222" s="413"/>
      <c r="X222" s="413"/>
      <c r="Y222" s="413"/>
      <c r="Z222" s="413"/>
    </row>
    <row r="223">
      <c r="A223" s="452"/>
      <c r="B223" s="453"/>
      <c r="C223" s="454"/>
      <c r="D223" s="454"/>
      <c r="E223" s="439"/>
      <c r="F223" s="439"/>
      <c r="G223" s="454"/>
      <c r="H223" s="454"/>
      <c r="I223" s="456"/>
      <c r="J223" s="459"/>
      <c r="K223" s="458"/>
      <c r="L223" s="454"/>
      <c r="M223" s="453"/>
      <c r="N223" s="413"/>
      <c r="O223" s="413"/>
      <c r="P223" s="413"/>
      <c r="Q223" s="413"/>
      <c r="R223" s="413"/>
      <c r="S223" s="413"/>
      <c r="T223" s="413"/>
      <c r="U223" s="413"/>
      <c r="V223" s="413"/>
      <c r="W223" s="413"/>
      <c r="X223" s="413"/>
      <c r="Y223" s="413"/>
      <c r="Z223" s="413"/>
    </row>
    <row r="224">
      <c r="A224" s="452"/>
      <c r="B224" s="453"/>
      <c r="C224" s="454"/>
      <c r="D224" s="454"/>
      <c r="E224" s="439"/>
      <c r="F224" s="439"/>
      <c r="G224" s="454"/>
      <c r="H224" s="454"/>
      <c r="I224" s="456"/>
      <c r="J224" s="459"/>
      <c r="K224" s="458"/>
      <c r="L224" s="454"/>
      <c r="M224" s="453"/>
      <c r="N224" s="413"/>
      <c r="O224" s="413"/>
      <c r="P224" s="413"/>
      <c r="Q224" s="413"/>
      <c r="R224" s="413"/>
      <c r="S224" s="413"/>
      <c r="T224" s="413"/>
      <c r="U224" s="413"/>
      <c r="V224" s="413"/>
      <c r="W224" s="413"/>
      <c r="X224" s="413"/>
      <c r="Y224" s="413"/>
      <c r="Z224" s="413"/>
    </row>
    <row r="225">
      <c r="A225" s="452"/>
      <c r="B225" s="453"/>
      <c r="C225" s="454"/>
      <c r="D225" s="454"/>
      <c r="E225" s="439"/>
      <c r="F225" s="439"/>
      <c r="G225" s="454"/>
      <c r="H225" s="454"/>
      <c r="I225" s="456"/>
      <c r="J225" s="459"/>
      <c r="K225" s="458"/>
      <c r="L225" s="454"/>
      <c r="M225" s="453"/>
      <c r="N225" s="413"/>
      <c r="O225" s="413"/>
      <c r="P225" s="413"/>
      <c r="Q225" s="413"/>
      <c r="R225" s="413"/>
      <c r="S225" s="413"/>
      <c r="T225" s="413"/>
      <c r="U225" s="413"/>
      <c r="V225" s="413"/>
      <c r="W225" s="413"/>
      <c r="X225" s="413"/>
      <c r="Y225" s="413"/>
      <c r="Z225" s="413"/>
    </row>
    <row r="226">
      <c r="A226" s="452"/>
      <c r="B226" s="453"/>
      <c r="C226" s="454"/>
      <c r="D226" s="454"/>
      <c r="E226" s="439"/>
      <c r="F226" s="439"/>
      <c r="G226" s="454"/>
      <c r="H226" s="454"/>
      <c r="I226" s="456"/>
      <c r="J226" s="459"/>
      <c r="K226" s="458"/>
      <c r="L226" s="454"/>
      <c r="M226" s="453"/>
      <c r="N226" s="413"/>
      <c r="O226" s="413"/>
      <c r="P226" s="413"/>
      <c r="Q226" s="413"/>
      <c r="R226" s="413"/>
      <c r="S226" s="413"/>
      <c r="T226" s="413"/>
      <c r="U226" s="413"/>
      <c r="V226" s="413"/>
      <c r="W226" s="413"/>
      <c r="X226" s="413"/>
      <c r="Y226" s="413"/>
      <c r="Z226" s="413"/>
    </row>
    <row r="227">
      <c r="A227" s="452"/>
      <c r="B227" s="453"/>
      <c r="C227" s="454"/>
      <c r="D227" s="454"/>
      <c r="E227" s="439"/>
      <c r="F227" s="439"/>
      <c r="G227" s="454"/>
      <c r="H227" s="454"/>
      <c r="I227" s="456"/>
      <c r="J227" s="459"/>
      <c r="K227" s="458"/>
      <c r="L227" s="454"/>
      <c r="M227" s="453"/>
      <c r="N227" s="413"/>
      <c r="O227" s="413"/>
      <c r="P227" s="413"/>
      <c r="Q227" s="413"/>
      <c r="R227" s="413"/>
      <c r="S227" s="413"/>
      <c r="T227" s="413"/>
      <c r="U227" s="413"/>
      <c r="V227" s="413"/>
      <c r="W227" s="413"/>
      <c r="X227" s="413"/>
      <c r="Y227" s="413"/>
      <c r="Z227" s="413"/>
    </row>
    <row r="228">
      <c r="A228" s="452"/>
      <c r="B228" s="453"/>
      <c r="C228" s="454"/>
      <c r="D228" s="454"/>
      <c r="E228" s="439"/>
      <c r="F228" s="439"/>
      <c r="G228" s="454"/>
      <c r="H228" s="454"/>
      <c r="I228" s="456"/>
      <c r="J228" s="459"/>
      <c r="K228" s="458"/>
      <c r="L228" s="454"/>
      <c r="M228" s="453"/>
      <c r="N228" s="413"/>
      <c r="O228" s="413"/>
      <c r="P228" s="413"/>
      <c r="Q228" s="413"/>
      <c r="R228" s="413"/>
      <c r="S228" s="413"/>
      <c r="T228" s="413"/>
      <c r="U228" s="413"/>
      <c r="V228" s="413"/>
      <c r="W228" s="413"/>
      <c r="X228" s="413"/>
      <c r="Y228" s="413"/>
      <c r="Z228" s="413"/>
    </row>
    <row r="229">
      <c r="A229" s="452"/>
      <c r="B229" s="453"/>
      <c r="C229" s="454"/>
      <c r="D229" s="454"/>
      <c r="E229" s="439"/>
      <c r="F229" s="439"/>
      <c r="G229" s="454"/>
      <c r="H229" s="454"/>
      <c r="I229" s="456"/>
      <c r="J229" s="459"/>
      <c r="K229" s="458"/>
      <c r="L229" s="454"/>
      <c r="M229" s="453"/>
      <c r="N229" s="413"/>
      <c r="O229" s="413"/>
      <c r="P229" s="413"/>
      <c r="Q229" s="413"/>
      <c r="R229" s="413"/>
      <c r="S229" s="413"/>
      <c r="T229" s="413"/>
      <c r="U229" s="413"/>
      <c r="V229" s="413"/>
      <c r="W229" s="413"/>
      <c r="X229" s="413"/>
      <c r="Y229" s="413"/>
      <c r="Z229" s="413"/>
    </row>
    <row r="230">
      <c r="A230" s="452"/>
      <c r="B230" s="453"/>
      <c r="C230" s="454"/>
      <c r="D230" s="454"/>
      <c r="E230" s="439"/>
      <c r="F230" s="439"/>
      <c r="G230" s="454"/>
      <c r="H230" s="454"/>
      <c r="I230" s="456"/>
      <c r="J230" s="459"/>
      <c r="K230" s="458"/>
      <c r="L230" s="454"/>
      <c r="M230" s="453"/>
      <c r="N230" s="413"/>
      <c r="O230" s="413"/>
      <c r="P230" s="413"/>
      <c r="Q230" s="413"/>
      <c r="R230" s="413"/>
      <c r="S230" s="413"/>
      <c r="T230" s="413"/>
      <c r="U230" s="413"/>
      <c r="V230" s="413"/>
      <c r="W230" s="413"/>
      <c r="X230" s="413"/>
      <c r="Y230" s="413"/>
      <c r="Z230" s="413"/>
    </row>
    <row r="231">
      <c r="A231" s="452"/>
      <c r="B231" s="453"/>
      <c r="C231" s="454"/>
      <c r="D231" s="454"/>
      <c r="E231" s="439"/>
      <c r="F231" s="439"/>
      <c r="G231" s="454"/>
      <c r="H231" s="454"/>
      <c r="I231" s="456"/>
      <c r="J231" s="459"/>
      <c r="K231" s="458"/>
      <c r="L231" s="454"/>
      <c r="M231" s="453"/>
      <c r="N231" s="413"/>
      <c r="O231" s="413"/>
      <c r="P231" s="413"/>
      <c r="Q231" s="413"/>
      <c r="R231" s="413"/>
      <c r="S231" s="413"/>
      <c r="T231" s="413"/>
      <c r="U231" s="413"/>
      <c r="V231" s="413"/>
      <c r="W231" s="413"/>
      <c r="X231" s="413"/>
      <c r="Y231" s="413"/>
      <c r="Z231" s="413"/>
    </row>
    <row r="232">
      <c r="A232" s="452"/>
      <c r="B232" s="453"/>
      <c r="C232" s="454"/>
      <c r="D232" s="454"/>
      <c r="E232" s="439"/>
      <c r="F232" s="439"/>
      <c r="G232" s="454"/>
      <c r="H232" s="454"/>
      <c r="I232" s="456"/>
      <c r="J232" s="459"/>
      <c r="K232" s="458"/>
      <c r="L232" s="454"/>
      <c r="M232" s="453"/>
      <c r="N232" s="413"/>
      <c r="O232" s="413"/>
      <c r="P232" s="413"/>
      <c r="Q232" s="413"/>
      <c r="R232" s="413"/>
      <c r="S232" s="413"/>
      <c r="T232" s="413"/>
      <c r="U232" s="413"/>
      <c r="V232" s="413"/>
      <c r="W232" s="413"/>
      <c r="X232" s="413"/>
      <c r="Y232" s="413"/>
      <c r="Z232" s="413"/>
    </row>
    <row r="233">
      <c r="A233" s="452"/>
      <c r="B233" s="453"/>
      <c r="C233" s="454"/>
      <c r="D233" s="454"/>
      <c r="E233" s="439"/>
      <c r="F233" s="439"/>
      <c r="G233" s="454"/>
      <c r="H233" s="454"/>
      <c r="I233" s="456"/>
      <c r="J233" s="459"/>
      <c r="K233" s="458"/>
      <c r="L233" s="454"/>
      <c r="M233" s="453"/>
      <c r="N233" s="413"/>
      <c r="O233" s="413"/>
      <c r="P233" s="413"/>
      <c r="Q233" s="413"/>
      <c r="R233" s="413"/>
      <c r="S233" s="413"/>
      <c r="T233" s="413"/>
      <c r="U233" s="413"/>
      <c r="V233" s="413"/>
      <c r="W233" s="413"/>
      <c r="X233" s="413"/>
      <c r="Y233" s="413"/>
      <c r="Z233" s="413"/>
    </row>
    <row r="234">
      <c r="A234" s="452"/>
      <c r="B234" s="453"/>
      <c r="C234" s="454"/>
      <c r="D234" s="454"/>
      <c r="E234" s="439"/>
      <c r="F234" s="439"/>
      <c r="G234" s="454"/>
      <c r="H234" s="454"/>
      <c r="I234" s="456"/>
      <c r="J234" s="459"/>
      <c r="K234" s="458"/>
      <c r="L234" s="454"/>
      <c r="M234" s="453"/>
      <c r="N234" s="413"/>
      <c r="O234" s="413"/>
      <c r="P234" s="413"/>
      <c r="Q234" s="413"/>
      <c r="R234" s="413"/>
      <c r="S234" s="413"/>
      <c r="T234" s="413"/>
      <c r="U234" s="413"/>
      <c r="V234" s="413"/>
      <c r="W234" s="413"/>
      <c r="X234" s="413"/>
      <c r="Y234" s="413"/>
      <c r="Z234" s="413"/>
    </row>
    <row r="235">
      <c r="A235" s="452"/>
      <c r="B235" s="453"/>
      <c r="C235" s="454"/>
      <c r="D235" s="454"/>
      <c r="E235" s="439"/>
      <c r="F235" s="439"/>
      <c r="G235" s="454"/>
      <c r="H235" s="454"/>
      <c r="I235" s="456"/>
      <c r="J235" s="459"/>
      <c r="K235" s="458"/>
      <c r="L235" s="454"/>
      <c r="M235" s="453"/>
      <c r="N235" s="413"/>
      <c r="O235" s="413"/>
      <c r="P235" s="413"/>
      <c r="Q235" s="413"/>
      <c r="R235" s="413"/>
      <c r="S235" s="413"/>
      <c r="T235" s="413"/>
      <c r="U235" s="413"/>
      <c r="V235" s="413"/>
      <c r="W235" s="413"/>
      <c r="X235" s="413"/>
      <c r="Y235" s="413"/>
      <c r="Z235" s="413"/>
    </row>
    <row r="236">
      <c r="A236" s="452"/>
      <c r="B236" s="453"/>
      <c r="C236" s="454"/>
      <c r="D236" s="454"/>
      <c r="E236" s="439"/>
      <c r="F236" s="439"/>
      <c r="G236" s="454"/>
      <c r="H236" s="454"/>
      <c r="I236" s="456"/>
      <c r="J236" s="459"/>
      <c r="K236" s="458"/>
      <c r="L236" s="454"/>
      <c r="M236" s="453"/>
      <c r="N236" s="413"/>
      <c r="O236" s="413"/>
      <c r="P236" s="413"/>
      <c r="Q236" s="413"/>
      <c r="R236" s="413"/>
      <c r="S236" s="413"/>
      <c r="T236" s="413"/>
      <c r="U236" s="413"/>
      <c r="V236" s="413"/>
      <c r="W236" s="413"/>
      <c r="X236" s="413"/>
      <c r="Y236" s="413"/>
      <c r="Z236" s="413"/>
    </row>
    <row r="237">
      <c r="A237" s="452"/>
      <c r="B237" s="453"/>
      <c r="C237" s="454"/>
      <c r="D237" s="454"/>
      <c r="E237" s="439"/>
      <c r="F237" s="439"/>
      <c r="G237" s="454"/>
      <c r="H237" s="454"/>
      <c r="I237" s="456"/>
      <c r="J237" s="459"/>
      <c r="K237" s="458"/>
      <c r="L237" s="454"/>
      <c r="M237" s="453"/>
      <c r="N237" s="413"/>
      <c r="O237" s="413"/>
      <c r="P237" s="413"/>
      <c r="Q237" s="413"/>
      <c r="R237" s="413"/>
      <c r="S237" s="413"/>
      <c r="T237" s="413"/>
      <c r="U237" s="413"/>
      <c r="V237" s="413"/>
      <c r="W237" s="413"/>
      <c r="X237" s="413"/>
      <c r="Y237" s="413"/>
      <c r="Z237" s="413"/>
    </row>
    <row r="238">
      <c r="A238" s="452"/>
      <c r="B238" s="453"/>
      <c r="C238" s="454"/>
      <c r="D238" s="454"/>
      <c r="E238" s="439"/>
      <c r="F238" s="439"/>
      <c r="G238" s="454"/>
      <c r="H238" s="454"/>
      <c r="I238" s="456"/>
      <c r="J238" s="459"/>
      <c r="K238" s="458"/>
      <c r="L238" s="454"/>
      <c r="M238" s="453"/>
      <c r="N238" s="413"/>
      <c r="O238" s="413"/>
      <c r="P238" s="413"/>
      <c r="Q238" s="413"/>
      <c r="R238" s="413"/>
      <c r="S238" s="413"/>
      <c r="T238" s="413"/>
      <c r="U238" s="413"/>
      <c r="V238" s="413"/>
      <c r="W238" s="413"/>
      <c r="X238" s="413"/>
      <c r="Y238" s="413"/>
      <c r="Z238" s="413"/>
    </row>
    <row r="239">
      <c r="A239" s="452"/>
      <c r="B239" s="453"/>
      <c r="C239" s="454"/>
      <c r="D239" s="454"/>
      <c r="E239" s="439"/>
      <c r="F239" s="439"/>
      <c r="G239" s="454"/>
      <c r="H239" s="454"/>
      <c r="I239" s="456"/>
      <c r="J239" s="459"/>
      <c r="K239" s="458"/>
      <c r="L239" s="454"/>
      <c r="M239" s="453"/>
      <c r="N239" s="413"/>
      <c r="O239" s="413"/>
      <c r="P239" s="413"/>
      <c r="Q239" s="413"/>
      <c r="R239" s="413"/>
      <c r="S239" s="413"/>
      <c r="T239" s="413"/>
      <c r="U239" s="413"/>
      <c r="V239" s="413"/>
      <c r="W239" s="413"/>
      <c r="X239" s="413"/>
      <c r="Y239" s="413"/>
      <c r="Z239" s="413"/>
    </row>
    <row r="240">
      <c r="A240" s="452"/>
      <c r="B240" s="453"/>
      <c r="C240" s="454"/>
      <c r="D240" s="454"/>
      <c r="E240" s="439"/>
      <c r="F240" s="439"/>
      <c r="G240" s="454"/>
      <c r="H240" s="454"/>
      <c r="I240" s="456"/>
      <c r="J240" s="459"/>
      <c r="K240" s="458"/>
      <c r="L240" s="454"/>
      <c r="M240" s="453"/>
      <c r="N240" s="413"/>
      <c r="O240" s="413"/>
      <c r="P240" s="413"/>
      <c r="Q240" s="413"/>
      <c r="R240" s="413"/>
      <c r="S240" s="413"/>
      <c r="T240" s="413"/>
      <c r="U240" s="413"/>
      <c r="V240" s="413"/>
      <c r="W240" s="413"/>
      <c r="X240" s="413"/>
      <c r="Y240" s="413"/>
      <c r="Z240" s="413"/>
    </row>
    <row r="241">
      <c r="A241" s="452"/>
      <c r="B241" s="453"/>
      <c r="C241" s="454"/>
      <c r="D241" s="454"/>
      <c r="E241" s="439"/>
      <c r="F241" s="439"/>
      <c r="G241" s="454"/>
      <c r="H241" s="454"/>
      <c r="I241" s="456"/>
      <c r="J241" s="459"/>
      <c r="K241" s="458"/>
      <c r="L241" s="454"/>
      <c r="M241" s="453"/>
      <c r="N241" s="413"/>
      <c r="O241" s="413"/>
      <c r="P241" s="413"/>
      <c r="Q241" s="413"/>
      <c r="R241" s="413"/>
      <c r="S241" s="413"/>
      <c r="T241" s="413"/>
      <c r="U241" s="413"/>
      <c r="V241" s="413"/>
      <c r="W241" s="413"/>
      <c r="X241" s="413"/>
      <c r="Y241" s="413"/>
      <c r="Z241" s="413"/>
    </row>
    <row r="242">
      <c r="A242" s="452"/>
      <c r="B242" s="453"/>
      <c r="C242" s="454"/>
      <c r="D242" s="454"/>
      <c r="E242" s="439"/>
      <c r="F242" s="439"/>
      <c r="G242" s="454"/>
      <c r="H242" s="454"/>
      <c r="I242" s="456"/>
      <c r="J242" s="459"/>
      <c r="K242" s="458"/>
      <c r="L242" s="454"/>
      <c r="M242" s="453"/>
      <c r="N242" s="413"/>
      <c r="O242" s="413"/>
      <c r="P242" s="413"/>
      <c r="Q242" s="413"/>
      <c r="R242" s="413"/>
      <c r="S242" s="413"/>
      <c r="T242" s="413"/>
      <c r="U242" s="413"/>
      <c r="V242" s="413"/>
      <c r="W242" s="413"/>
      <c r="X242" s="413"/>
      <c r="Y242" s="413"/>
      <c r="Z242" s="413"/>
    </row>
    <row r="243">
      <c r="A243" s="452"/>
      <c r="B243" s="453"/>
      <c r="C243" s="454"/>
      <c r="D243" s="454"/>
      <c r="E243" s="439"/>
      <c r="F243" s="439"/>
      <c r="G243" s="454"/>
      <c r="H243" s="454"/>
      <c r="I243" s="456"/>
      <c r="J243" s="459"/>
      <c r="K243" s="458"/>
      <c r="L243" s="454"/>
      <c r="M243" s="453"/>
      <c r="N243" s="413"/>
      <c r="O243" s="413"/>
      <c r="P243" s="413"/>
      <c r="Q243" s="413"/>
      <c r="R243" s="413"/>
      <c r="S243" s="413"/>
      <c r="T243" s="413"/>
      <c r="U243" s="413"/>
      <c r="V243" s="413"/>
      <c r="W243" s="413"/>
      <c r="X243" s="413"/>
      <c r="Y243" s="413"/>
      <c r="Z243" s="413"/>
    </row>
    <row r="244">
      <c r="A244" s="452"/>
      <c r="B244" s="453"/>
      <c r="C244" s="454"/>
      <c r="D244" s="454"/>
      <c r="E244" s="439"/>
      <c r="F244" s="439"/>
      <c r="G244" s="454"/>
      <c r="H244" s="454"/>
      <c r="I244" s="456"/>
      <c r="J244" s="459"/>
      <c r="K244" s="458"/>
      <c r="L244" s="454"/>
      <c r="M244" s="453"/>
      <c r="N244" s="413"/>
      <c r="O244" s="413"/>
      <c r="P244" s="413"/>
      <c r="Q244" s="413"/>
      <c r="R244" s="413"/>
      <c r="S244" s="413"/>
      <c r="T244" s="413"/>
      <c r="U244" s="413"/>
      <c r="V244" s="413"/>
      <c r="W244" s="413"/>
      <c r="X244" s="413"/>
      <c r="Y244" s="413"/>
      <c r="Z244" s="413"/>
    </row>
    <row r="245">
      <c r="A245" s="452"/>
      <c r="B245" s="453"/>
      <c r="C245" s="454"/>
      <c r="D245" s="454"/>
      <c r="E245" s="439"/>
      <c r="F245" s="439"/>
      <c r="G245" s="454"/>
      <c r="H245" s="454"/>
      <c r="I245" s="456"/>
      <c r="J245" s="459"/>
      <c r="K245" s="458"/>
      <c r="L245" s="454"/>
      <c r="M245" s="453"/>
      <c r="N245" s="413"/>
      <c r="O245" s="413"/>
      <c r="P245" s="413"/>
      <c r="Q245" s="413"/>
      <c r="R245" s="413"/>
      <c r="S245" s="413"/>
      <c r="T245" s="413"/>
      <c r="U245" s="413"/>
      <c r="V245" s="413"/>
      <c r="W245" s="413"/>
      <c r="X245" s="413"/>
      <c r="Y245" s="413"/>
      <c r="Z245" s="413"/>
    </row>
    <row r="246">
      <c r="A246" s="452"/>
      <c r="B246" s="453"/>
      <c r="C246" s="454"/>
      <c r="D246" s="454"/>
      <c r="E246" s="439"/>
      <c r="F246" s="439"/>
      <c r="G246" s="454"/>
      <c r="H246" s="454"/>
      <c r="I246" s="456"/>
      <c r="J246" s="459"/>
      <c r="K246" s="458"/>
      <c r="L246" s="454"/>
      <c r="M246" s="453"/>
      <c r="N246" s="413"/>
      <c r="O246" s="413"/>
      <c r="P246" s="413"/>
      <c r="Q246" s="413"/>
      <c r="R246" s="413"/>
      <c r="S246" s="413"/>
      <c r="T246" s="413"/>
      <c r="U246" s="413"/>
      <c r="V246" s="413"/>
      <c r="W246" s="413"/>
      <c r="X246" s="413"/>
      <c r="Y246" s="413"/>
      <c r="Z246" s="413"/>
    </row>
    <row r="247">
      <c r="A247" s="452"/>
      <c r="B247" s="453"/>
      <c r="C247" s="454"/>
      <c r="D247" s="454"/>
      <c r="E247" s="439"/>
      <c r="F247" s="439"/>
      <c r="G247" s="454"/>
      <c r="H247" s="454"/>
      <c r="I247" s="456"/>
      <c r="J247" s="459"/>
      <c r="K247" s="458"/>
      <c r="L247" s="454"/>
      <c r="M247" s="453"/>
      <c r="N247" s="413"/>
      <c r="O247" s="413"/>
      <c r="P247" s="413"/>
      <c r="Q247" s="413"/>
      <c r="R247" s="413"/>
      <c r="S247" s="413"/>
      <c r="T247" s="413"/>
      <c r="U247" s="413"/>
      <c r="V247" s="413"/>
      <c r="W247" s="413"/>
      <c r="X247" s="413"/>
      <c r="Y247" s="413"/>
      <c r="Z247" s="413"/>
    </row>
    <row r="248">
      <c r="A248" s="452"/>
      <c r="B248" s="453"/>
      <c r="C248" s="454"/>
      <c r="D248" s="454"/>
      <c r="E248" s="439"/>
      <c r="F248" s="439"/>
      <c r="G248" s="454"/>
      <c r="H248" s="454"/>
      <c r="I248" s="456"/>
      <c r="J248" s="459"/>
      <c r="K248" s="458"/>
      <c r="L248" s="454"/>
      <c r="M248" s="453"/>
      <c r="N248" s="413"/>
      <c r="O248" s="413"/>
      <c r="P248" s="413"/>
      <c r="Q248" s="413"/>
      <c r="R248" s="413"/>
      <c r="S248" s="413"/>
      <c r="T248" s="413"/>
      <c r="U248" s="413"/>
      <c r="V248" s="413"/>
      <c r="W248" s="413"/>
      <c r="X248" s="413"/>
      <c r="Y248" s="413"/>
      <c r="Z248" s="413"/>
    </row>
    <row r="249">
      <c r="A249" s="452"/>
      <c r="B249" s="453"/>
      <c r="C249" s="454"/>
      <c r="D249" s="454"/>
      <c r="E249" s="439"/>
      <c r="F249" s="439"/>
      <c r="G249" s="454"/>
      <c r="H249" s="454"/>
      <c r="I249" s="456"/>
      <c r="J249" s="459"/>
      <c r="K249" s="458"/>
      <c r="L249" s="454"/>
      <c r="M249" s="453"/>
      <c r="N249" s="413"/>
      <c r="O249" s="413"/>
      <c r="P249" s="413"/>
      <c r="Q249" s="413"/>
      <c r="R249" s="413"/>
      <c r="S249" s="413"/>
      <c r="T249" s="413"/>
      <c r="U249" s="413"/>
      <c r="V249" s="413"/>
      <c r="W249" s="413"/>
      <c r="X249" s="413"/>
      <c r="Y249" s="413"/>
      <c r="Z249" s="413"/>
    </row>
    <row r="250">
      <c r="A250" s="452"/>
      <c r="B250" s="453"/>
      <c r="C250" s="454"/>
      <c r="D250" s="454"/>
      <c r="E250" s="439"/>
      <c r="F250" s="439"/>
      <c r="G250" s="454"/>
      <c r="H250" s="454"/>
      <c r="I250" s="456"/>
      <c r="J250" s="459"/>
      <c r="K250" s="458"/>
      <c r="L250" s="454"/>
      <c r="M250" s="453"/>
      <c r="N250" s="413"/>
      <c r="O250" s="413"/>
      <c r="P250" s="413"/>
      <c r="Q250" s="413"/>
      <c r="R250" s="413"/>
      <c r="S250" s="413"/>
      <c r="T250" s="413"/>
      <c r="U250" s="413"/>
      <c r="V250" s="413"/>
      <c r="W250" s="413"/>
      <c r="X250" s="413"/>
      <c r="Y250" s="413"/>
      <c r="Z250" s="413"/>
    </row>
    <row r="251">
      <c r="A251" s="452"/>
      <c r="B251" s="453"/>
      <c r="C251" s="454"/>
      <c r="D251" s="454"/>
      <c r="E251" s="439"/>
      <c r="F251" s="439"/>
      <c r="G251" s="454"/>
      <c r="H251" s="454"/>
      <c r="I251" s="456"/>
      <c r="J251" s="459"/>
      <c r="K251" s="458"/>
      <c r="L251" s="454"/>
      <c r="M251" s="453"/>
      <c r="N251" s="413"/>
      <c r="O251" s="413"/>
      <c r="P251" s="413"/>
      <c r="Q251" s="413"/>
      <c r="R251" s="413"/>
      <c r="S251" s="413"/>
      <c r="T251" s="413"/>
      <c r="U251" s="413"/>
      <c r="V251" s="413"/>
      <c r="W251" s="413"/>
      <c r="X251" s="413"/>
      <c r="Y251" s="413"/>
      <c r="Z251" s="413"/>
    </row>
    <row r="252">
      <c r="A252" s="452"/>
      <c r="B252" s="453"/>
      <c r="C252" s="454"/>
      <c r="D252" s="454"/>
      <c r="E252" s="439"/>
      <c r="F252" s="439"/>
      <c r="G252" s="454"/>
      <c r="H252" s="454"/>
      <c r="I252" s="456"/>
      <c r="J252" s="459"/>
      <c r="K252" s="458"/>
      <c r="L252" s="454"/>
      <c r="M252" s="453"/>
      <c r="N252" s="413"/>
      <c r="O252" s="413"/>
      <c r="P252" s="413"/>
      <c r="Q252" s="413"/>
      <c r="R252" s="413"/>
      <c r="S252" s="413"/>
      <c r="T252" s="413"/>
      <c r="U252" s="413"/>
      <c r="V252" s="413"/>
      <c r="W252" s="413"/>
      <c r="X252" s="413"/>
      <c r="Y252" s="413"/>
      <c r="Z252" s="413"/>
    </row>
    <row r="253">
      <c r="A253" s="452"/>
      <c r="B253" s="453"/>
      <c r="C253" s="454"/>
      <c r="D253" s="454"/>
      <c r="E253" s="439"/>
      <c r="F253" s="439"/>
      <c r="G253" s="454"/>
      <c r="H253" s="454"/>
      <c r="I253" s="456"/>
      <c r="J253" s="459"/>
      <c r="K253" s="458"/>
      <c r="L253" s="454"/>
      <c r="M253" s="453"/>
      <c r="N253" s="413"/>
      <c r="O253" s="413"/>
      <c r="P253" s="413"/>
      <c r="Q253" s="413"/>
      <c r="R253" s="413"/>
      <c r="S253" s="413"/>
      <c r="T253" s="413"/>
      <c r="U253" s="413"/>
      <c r="V253" s="413"/>
      <c r="W253" s="413"/>
      <c r="X253" s="413"/>
      <c r="Y253" s="413"/>
      <c r="Z253" s="413"/>
    </row>
    <row r="254">
      <c r="A254" s="452"/>
      <c r="B254" s="453"/>
      <c r="C254" s="454"/>
      <c r="D254" s="454"/>
      <c r="E254" s="439"/>
      <c r="F254" s="439"/>
      <c r="G254" s="454"/>
      <c r="H254" s="454"/>
      <c r="I254" s="456"/>
      <c r="J254" s="459"/>
      <c r="K254" s="458"/>
      <c r="L254" s="454"/>
      <c r="M254" s="453"/>
      <c r="N254" s="413"/>
      <c r="O254" s="413"/>
      <c r="P254" s="413"/>
      <c r="Q254" s="413"/>
      <c r="R254" s="413"/>
      <c r="S254" s="413"/>
      <c r="T254" s="413"/>
      <c r="U254" s="413"/>
      <c r="V254" s="413"/>
      <c r="W254" s="413"/>
      <c r="X254" s="413"/>
      <c r="Y254" s="413"/>
      <c r="Z254" s="413"/>
    </row>
    <row r="255">
      <c r="A255" s="452"/>
      <c r="B255" s="453"/>
      <c r="C255" s="454"/>
      <c r="D255" s="454"/>
      <c r="E255" s="439"/>
      <c r="F255" s="439"/>
      <c r="G255" s="454"/>
      <c r="H255" s="454"/>
      <c r="I255" s="456"/>
      <c r="J255" s="459"/>
      <c r="K255" s="458"/>
      <c r="L255" s="454"/>
      <c r="M255" s="453"/>
      <c r="N255" s="413"/>
      <c r="O255" s="413"/>
      <c r="P255" s="413"/>
      <c r="Q255" s="413"/>
      <c r="R255" s="413"/>
      <c r="S255" s="413"/>
      <c r="T255" s="413"/>
      <c r="U255" s="413"/>
      <c r="V255" s="413"/>
      <c r="W255" s="413"/>
      <c r="X255" s="413"/>
      <c r="Y255" s="413"/>
      <c r="Z255" s="413"/>
    </row>
    <row r="256">
      <c r="A256" s="452"/>
      <c r="B256" s="453"/>
      <c r="C256" s="454"/>
      <c r="D256" s="454"/>
      <c r="E256" s="439"/>
      <c r="F256" s="439"/>
      <c r="G256" s="454"/>
      <c r="H256" s="454"/>
      <c r="I256" s="456"/>
      <c r="J256" s="459"/>
      <c r="K256" s="458"/>
      <c r="L256" s="454"/>
      <c r="M256" s="453"/>
      <c r="N256" s="413"/>
      <c r="O256" s="413"/>
      <c r="P256" s="413"/>
      <c r="Q256" s="413"/>
      <c r="R256" s="413"/>
      <c r="S256" s="413"/>
      <c r="T256" s="413"/>
      <c r="U256" s="413"/>
      <c r="V256" s="413"/>
      <c r="W256" s="413"/>
      <c r="X256" s="413"/>
      <c r="Y256" s="413"/>
      <c r="Z256" s="413"/>
    </row>
    <row r="257">
      <c r="A257" s="452"/>
      <c r="B257" s="453"/>
      <c r="C257" s="454"/>
      <c r="D257" s="454"/>
      <c r="E257" s="439"/>
      <c r="F257" s="439"/>
      <c r="G257" s="454"/>
      <c r="H257" s="454"/>
      <c r="I257" s="456"/>
      <c r="J257" s="459"/>
      <c r="K257" s="458"/>
      <c r="L257" s="454"/>
      <c r="M257" s="453"/>
      <c r="N257" s="413"/>
      <c r="O257" s="413"/>
      <c r="P257" s="413"/>
      <c r="Q257" s="413"/>
      <c r="R257" s="413"/>
      <c r="S257" s="413"/>
      <c r="T257" s="413"/>
      <c r="U257" s="413"/>
      <c r="V257" s="413"/>
      <c r="W257" s="413"/>
      <c r="X257" s="413"/>
      <c r="Y257" s="413"/>
      <c r="Z257" s="413"/>
    </row>
    <row r="258">
      <c r="A258" s="452"/>
      <c r="B258" s="453"/>
      <c r="C258" s="454"/>
      <c r="D258" s="454"/>
      <c r="E258" s="439"/>
      <c r="F258" s="439"/>
      <c r="G258" s="454"/>
      <c r="H258" s="454"/>
      <c r="I258" s="456"/>
      <c r="J258" s="459"/>
      <c r="K258" s="458"/>
      <c r="L258" s="454"/>
      <c r="M258" s="453"/>
      <c r="N258" s="413"/>
      <c r="O258" s="413"/>
      <c r="P258" s="413"/>
      <c r="Q258" s="413"/>
      <c r="R258" s="413"/>
      <c r="S258" s="413"/>
      <c r="T258" s="413"/>
      <c r="U258" s="413"/>
      <c r="V258" s="413"/>
      <c r="W258" s="413"/>
      <c r="X258" s="413"/>
      <c r="Y258" s="413"/>
      <c r="Z258" s="413"/>
    </row>
    <row r="259">
      <c r="A259" s="452"/>
      <c r="B259" s="453"/>
      <c r="C259" s="454"/>
      <c r="D259" s="454"/>
      <c r="E259" s="439"/>
      <c r="F259" s="439"/>
      <c r="G259" s="454"/>
      <c r="H259" s="454"/>
      <c r="I259" s="456"/>
      <c r="J259" s="459"/>
      <c r="K259" s="458"/>
      <c r="L259" s="454"/>
      <c r="M259" s="453"/>
      <c r="N259" s="413"/>
      <c r="O259" s="413"/>
      <c r="P259" s="413"/>
      <c r="Q259" s="413"/>
      <c r="R259" s="413"/>
      <c r="S259" s="413"/>
      <c r="T259" s="413"/>
      <c r="U259" s="413"/>
      <c r="V259" s="413"/>
      <c r="W259" s="413"/>
      <c r="X259" s="413"/>
      <c r="Y259" s="413"/>
      <c r="Z259" s="413"/>
    </row>
    <row r="260">
      <c r="A260" s="452"/>
      <c r="B260" s="453"/>
      <c r="C260" s="454"/>
      <c r="D260" s="454"/>
      <c r="E260" s="439"/>
      <c r="F260" s="439"/>
      <c r="G260" s="454"/>
      <c r="H260" s="454"/>
      <c r="I260" s="456"/>
      <c r="J260" s="459"/>
      <c r="K260" s="458"/>
      <c r="L260" s="454"/>
      <c r="M260" s="453"/>
      <c r="N260" s="413"/>
      <c r="O260" s="413"/>
      <c r="P260" s="413"/>
      <c r="Q260" s="413"/>
      <c r="R260" s="413"/>
      <c r="S260" s="413"/>
      <c r="T260" s="413"/>
      <c r="U260" s="413"/>
      <c r="V260" s="413"/>
      <c r="W260" s="413"/>
      <c r="X260" s="413"/>
      <c r="Y260" s="413"/>
      <c r="Z260" s="413"/>
    </row>
    <row r="261">
      <c r="A261" s="452"/>
      <c r="B261" s="453"/>
      <c r="C261" s="454"/>
      <c r="D261" s="454"/>
      <c r="E261" s="439"/>
      <c r="F261" s="439"/>
      <c r="G261" s="454"/>
      <c r="H261" s="454"/>
      <c r="I261" s="456"/>
      <c r="J261" s="459"/>
      <c r="K261" s="458"/>
      <c r="L261" s="454"/>
      <c r="M261" s="453"/>
      <c r="N261" s="413"/>
      <c r="O261" s="413"/>
      <c r="P261" s="413"/>
      <c r="Q261" s="413"/>
      <c r="R261" s="413"/>
      <c r="S261" s="413"/>
      <c r="T261" s="413"/>
      <c r="U261" s="413"/>
      <c r="V261" s="413"/>
      <c r="W261" s="413"/>
      <c r="X261" s="413"/>
      <c r="Y261" s="413"/>
      <c r="Z261" s="413"/>
    </row>
    <row r="262">
      <c r="A262" s="452"/>
      <c r="B262" s="453"/>
      <c r="C262" s="454"/>
      <c r="D262" s="454"/>
      <c r="E262" s="439"/>
      <c r="F262" s="439"/>
      <c r="G262" s="454"/>
      <c r="H262" s="454"/>
      <c r="I262" s="456"/>
      <c r="J262" s="459"/>
      <c r="K262" s="458"/>
      <c r="L262" s="454"/>
      <c r="M262" s="453"/>
      <c r="N262" s="413"/>
      <c r="O262" s="413"/>
      <c r="P262" s="413"/>
      <c r="Q262" s="413"/>
      <c r="R262" s="413"/>
      <c r="S262" s="413"/>
      <c r="T262" s="413"/>
      <c r="U262" s="413"/>
      <c r="V262" s="413"/>
      <c r="W262" s="413"/>
      <c r="X262" s="413"/>
      <c r="Y262" s="413"/>
      <c r="Z262" s="413"/>
    </row>
    <row r="263">
      <c r="A263" s="452"/>
      <c r="B263" s="453"/>
      <c r="C263" s="454"/>
      <c r="D263" s="454"/>
      <c r="E263" s="439"/>
      <c r="F263" s="439"/>
      <c r="G263" s="454"/>
      <c r="H263" s="454"/>
      <c r="I263" s="456"/>
      <c r="J263" s="459"/>
      <c r="K263" s="458"/>
      <c r="L263" s="454"/>
      <c r="M263" s="453"/>
      <c r="N263" s="413"/>
      <c r="O263" s="413"/>
      <c r="P263" s="413"/>
      <c r="Q263" s="413"/>
      <c r="R263" s="413"/>
      <c r="S263" s="413"/>
      <c r="T263" s="413"/>
      <c r="U263" s="413"/>
      <c r="V263" s="413"/>
      <c r="W263" s="413"/>
      <c r="X263" s="413"/>
      <c r="Y263" s="413"/>
      <c r="Z263" s="413"/>
    </row>
    <row r="264">
      <c r="A264" s="452"/>
      <c r="B264" s="453"/>
      <c r="C264" s="454"/>
      <c r="D264" s="454"/>
      <c r="E264" s="439"/>
      <c r="F264" s="439"/>
      <c r="G264" s="454"/>
      <c r="H264" s="454"/>
      <c r="I264" s="456"/>
      <c r="J264" s="459"/>
      <c r="K264" s="458"/>
      <c r="L264" s="454"/>
      <c r="M264" s="453"/>
      <c r="N264" s="413"/>
      <c r="O264" s="413"/>
      <c r="P264" s="413"/>
      <c r="Q264" s="413"/>
      <c r="R264" s="413"/>
      <c r="S264" s="413"/>
      <c r="T264" s="413"/>
      <c r="U264" s="413"/>
      <c r="V264" s="413"/>
      <c r="W264" s="413"/>
      <c r="X264" s="413"/>
      <c r="Y264" s="413"/>
      <c r="Z264" s="413"/>
    </row>
    <row r="265">
      <c r="A265" s="452"/>
      <c r="B265" s="453"/>
      <c r="C265" s="454"/>
      <c r="D265" s="454"/>
      <c r="E265" s="439"/>
      <c r="F265" s="439"/>
      <c r="G265" s="454"/>
      <c r="H265" s="454"/>
      <c r="I265" s="456"/>
      <c r="J265" s="459"/>
      <c r="K265" s="458"/>
      <c r="L265" s="454"/>
      <c r="M265" s="453"/>
      <c r="N265" s="413"/>
      <c r="O265" s="413"/>
      <c r="P265" s="413"/>
      <c r="Q265" s="413"/>
      <c r="R265" s="413"/>
      <c r="S265" s="413"/>
      <c r="T265" s="413"/>
      <c r="U265" s="413"/>
      <c r="V265" s="413"/>
      <c r="W265" s="413"/>
      <c r="X265" s="413"/>
      <c r="Y265" s="413"/>
      <c r="Z265" s="413"/>
    </row>
    <row r="266">
      <c r="A266" s="452"/>
      <c r="B266" s="453"/>
      <c r="C266" s="454"/>
      <c r="D266" s="454"/>
      <c r="E266" s="439"/>
      <c r="F266" s="439"/>
      <c r="G266" s="454"/>
      <c r="H266" s="454"/>
      <c r="I266" s="456"/>
      <c r="J266" s="459"/>
      <c r="K266" s="458"/>
      <c r="L266" s="454"/>
      <c r="M266" s="453"/>
      <c r="N266" s="413"/>
      <c r="O266" s="413"/>
      <c r="P266" s="413"/>
      <c r="Q266" s="413"/>
      <c r="R266" s="413"/>
      <c r="S266" s="413"/>
      <c r="T266" s="413"/>
      <c r="U266" s="413"/>
      <c r="V266" s="413"/>
      <c r="W266" s="413"/>
      <c r="X266" s="413"/>
      <c r="Y266" s="413"/>
      <c r="Z266" s="413"/>
    </row>
    <row r="267">
      <c r="A267" s="452"/>
      <c r="B267" s="453"/>
      <c r="C267" s="454"/>
      <c r="D267" s="454"/>
      <c r="E267" s="439"/>
      <c r="F267" s="439"/>
      <c r="G267" s="454"/>
      <c r="H267" s="454"/>
      <c r="I267" s="456"/>
      <c r="J267" s="459"/>
      <c r="K267" s="458"/>
      <c r="L267" s="454"/>
      <c r="M267" s="453"/>
      <c r="N267" s="413"/>
      <c r="O267" s="413"/>
      <c r="P267" s="413"/>
      <c r="Q267" s="413"/>
      <c r="R267" s="413"/>
      <c r="S267" s="413"/>
      <c r="T267" s="413"/>
      <c r="U267" s="413"/>
      <c r="V267" s="413"/>
      <c r="W267" s="413"/>
      <c r="X267" s="413"/>
      <c r="Y267" s="413"/>
      <c r="Z267" s="413"/>
    </row>
    <row r="268">
      <c r="A268" s="452"/>
      <c r="B268" s="453"/>
      <c r="C268" s="454"/>
      <c r="D268" s="454"/>
      <c r="E268" s="439"/>
      <c r="F268" s="439"/>
      <c r="G268" s="454"/>
      <c r="H268" s="454"/>
      <c r="I268" s="456"/>
      <c r="J268" s="459"/>
      <c r="K268" s="458"/>
      <c r="L268" s="454"/>
      <c r="M268" s="453"/>
      <c r="N268" s="413"/>
      <c r="O268" s="413"/>
      <c r="P268" s="413"/>
      <c r="Q268" s="413"/>
      <c r="R268" s="413"/>
      <c r="S268" s="413"/>
      <c r="T268" s="413"/>
      <c r="U268" s="413"/>
      <c r="V268" s="413"/>
      <c r="W268" s="413"/>
      <c r="X268" s="413"/>
      <c r="Y268" s="413"/>
      <c r="Z268" s="413"/>
    </row>
    <row r="269">
      <c r="A269" s="452"/>
      <c r="B269" s="453"/>
      <c r="C269" s="454"/>
      <c r="D269" s="454"/>
      <c r="E269" s="439"/>
      <c r="F269" s="439"/>
      <c r="G269" s="454"/>
      <c r="H269" s="454"/>
      <c r="I269" s="456"/>
      <c r="J269" s="459"/>
      <c r="K269" s="458"/>
      <c r="L269" s="454"/>
      <c r="M269" s="453"/>
      <c r="N269" s="413"/>
      <c r="O269" s="413"/>
      <c r="P269" s="413"/>
      <c r="Q269" s="413"/>
      <c r="R269" s="413"/>
      <c r="S269" s="413"/>
      <c r="T269" s="413"/>
      <c r="U269" s="413"/>
      <c r="V269" s="413"/>
      <c r="W269" s="413"/>
      <c r="X269" s="413"/>
      <c r="Y269" s="413"/>
      <c r="Z269" s="413"/>
    </row>
    <row r="270">
      <c r="A270" s="452"/>
      <c r="B270" s="453"/>
      <c r="C270" s="454"/>
      <c r="D270" s="454"/>
      <c r="E270" s="439"/>
      <c r="F270" s="439"/>
      <c r="G270" s="454"/>
      <c r="H270" s="454"/>
      <c r="I270" s="456"/>
      <c r="J270" s="459"/>
      <c r="K270" s="458"/>
      <c r="L270" s="454"/>
      <c r="M270" s="453"/>
      <c r="N270" s="413"/>
      <c r="O270" s="413"/>
      <c r="P270" s="413"/>
      <c r="Q270" s="413"/>
      <c r="R270" s="413"/>
      <c r="S270" s="413"/>
      <c r="T270" s="413"/>
      <c r="U270" s="413"/>
      <c r="V270" s="413"/>
      <c r="W270" s="413"/>
      <c r="X270" s="413"/>
      <c r="Y270" s="413"/>
      <c r="Z270" s="413"/>
    </row>
    <row r="271">
      <c r="A271" s="452"/>
      <c r="B271" s="453"/>
      <c r="C271" s="454"/>
      <c r="D271" s="454"/>
      <c r="E271" s="439"/>
      <c r="F271" s="439"/>
      <c r="G271" s="454"/>
      <c r="H271" s="454"/>
      <c r="I271" s="456"/>
      <c r="J271" s="459"/>
      <c r="K271" s="458"/>
      <c r="L271" s="454"/>
      <c r="M271" s="453"/>
      <c r="N271" s="413"/>
      <c r="O271" s="413"/>
      <c r="P271" s="413"/>
      <c r="Q271" s="413"/>
      <c r="R271" s="413"/>
      <c r="S271" s="413"/>
      <c r="T271" s="413"/>
      <c r="U271" s="413"/>
      <c r="V271" s="413"/>
      <c r="W271" s="413"/>
      <c r="X271" s="413"/>
      <c r="Y271" s="413"/>
      <c r="Z271" s="413"/>
    </row>
    <row r="272">
      <c r="A272" s="452"/>
      <c r="B272" s="453"/>
      <c r="C272" s="454"/>
      <c r="D272" s="454"/>
      <c r="E272" s="439"/>
      <c r="F272" s="439"/>
      <c r="G272" s="454"/>
      <c r="H272" s="454"/>
      <c r="I272" s="456"/>
      <c r="J272" s="459"/>
      <c r="K272" s="458"/>
      <c r="L272" s="454"/>
      <c r="M272" s="453"/>
      <c r="N272" s="413"/>
      <c r="O272" s="413"/>
      <c r="P272" s="413"/>
      <c r="Q272" s="413"/>
      <c r="R272" s="413"/>
      <c r="S272" s="413"/>
      <c r="T272" s="413"/>
      <c r="U272" s="413"/>
      <c r="V272" s="413"/>
      <c r="W272" s="413"/>
      <c r="X272" s="413"/>
      <c r="Y272" s="413"/>
      <c r="Z272" s="413"/>
    </row>
    <row r="273">
      <c r="A273" s="452"/>
      <c r="B273" s="453"/>
      <c r="C273" s="454"/>
      <c r="D273" s="454"/>
      <c r="E273" s="439"/>
      <c r="F273" s="439"/>
      <c r="G273" s="454"/>
      <c r="H273" s="454"/>
      <c r="I273" s="456"/>
      <c r="J273" s="459"/>
      <c r="K273" s="458"/>
      <c r="L273" s="454"/>
      <c r="M273" s="453"/>
      <c r="N273" s="413"/>
      <c r="O273" s="413"/>
      <c r="P273" s="413"/>
      <c r="Q273" s="413"/>
      <c r="R273" s="413"/>
      <c r="S273" s="413"/>
      <c r="T273" s="413"/>
      <c r="U273" s="413"/>
      <c r="V273" s="413"/>
      <c r="W273" s="413"/>
      <c r="X273" s="413"/>
      <c r="Y273" s="413"/>
      <c r="Z273" s="413"/>
    </row>
    <row r="274">
      <c r="A274" s="452"/>
      <c r="B274" s="453"/>
      <c r="C274" s="454"/>
      <c r="D274" s="454"/>
      <c r="E274" s="439"/>
      <c r="F274" s="439"/>
      <c r="G274" s="454"/>
      <c r="H274" s="454"/>
      <c r="I274" s="456"/>
      <c r="J274" s="459"/>
      <c r="K274" s="458"/>
      <c r="L274" s="454"/>
      <c r="M274" s="453"/>
      <c r="N274" s="413"/>
      <c r="O274" s="413"/>
      <c r="P274" s="413"/>
      <c r="Q274" s="413"/>
      <c r="R274" s="413"/>
      <c r="S274" s="413"/>
      <c r="T274" s="413"/>
      <c r="U274" s="413"/>
      <c r="V274" s="413"/>
      <c r="W274" s="413"/>
      <c r="X274" s="413"/>
      <c r="Y274" s="413"/>
      <c r="Z274" s="413"/>
    </row>
    <row r="275">
      <c r="A275" s="452"/>
      <c r="B275" s="453"/>
      <c r="C275" s="454"/>
      <c r="D275" s="454"/>
      <c r="E275" s="439"/>
      <c r="F275" s="439"/>
      <c r="G275" s="454"/>
      <c r="H275" s="454"/>
      <c r="I275" s="456"/>
      <c r="J275" s="459"/>
      <c r="K275" s="458"/>
      <c r="L275" s="454"/>
      <c r="M275" s="453"/>
      <c r="N275" s="413"/>
      <c r="O275" s="413"/>
      <c r="P275" s="413"/>
      <c r="Q275" s="413"/>
      <c r="R275" s="413"/>
      <c r="S275" s="413"/>
      <c r="T275" s="413"/>
      <c r="U275" s="413"/>
      <c r="V275" s="413"/>
      <c r="W275" s="413"/>
      <c r="X275" s="413"/>
      <c r="Y275" s="413"/>
      <c r="Z275" s="413"/>
    </row>
    <row r="276">
      <c r="A276" s="452"/>
      <c r="B276" s="453"/>
      <c r="C276" s="454"/>
      <c r="D276" s="454"/>
      <c r="E276" s="439"/>
      <c r="F276" s="439"/>
      <c r="G276" s="454"/>
      <c r="H276" s="454"/>
      <c r="I276" s="456"/>
      <c r="J276" s="459"/>
      <c r="K276" s="458"/>
      <c r="L276" s="454"/>
      <c r="M276" s="453"/>
      <c r="N276" s="413"/>
      <c r="O276" s="413"/>
      <c r="P276" s="413"/>
      <c r="Q276" s="413"/>
      <c r="R276" s="413"/>
      <c r="S276" s="413"/>
      <c r="T276" s="413"/>
      <c r="U276" s="413"/>
      <c r="V276" s="413"/>
      <c r="W276" s="413"/>
      <c r="X276" s="413"/>
      <c r="Y276" s="413"/>
      <c r="Z276" s="413"/>
    </row>
    <row r="277">
      <c r="A277" s="452"/>
      <c r="B277" s="453"/>
      <c r="C277" s="454"/>
      <c r="D277" s="454"/>
      <c r="E277" s="439"/>
      <c r="F277" s="439"/>
      <c r="G277" s="454"/>
      <c r="H277" s="454"/>
      <c r="I277" s="456"/>
      <c r="J277" s="459"/>
      <c r="K277" s="458"/>
      <c r="L277" s="454"/>
      <c r="M277" s="453"/>
      <c r="N277" s="413"/>
      <c r="O277" s="413"/>
      <c r="P277" s="413"/>
      <c r="Q277" s="413"/>
      <c r="R277" s="413"/>
      <c r="S277" s="413"/>
      <c r="T277" s="413"/>
      <c r="U277" s="413"/>
      <c r="V277" s="413"/>
      <c r="W277" s="413"/>
      <c r="X277" s="413"/>
      <c r="Y277" s="413"/>
      <c r="Z277" s="413"/>
    </row>
    <row r="278">
      <c r="A278" s="452"/>
      <c r="B278" s="453"/>
      <c r="C278" s="454"/>
      <c r="D278" s="454"/>
      <c r="E278" s="439"/>
      <c r="F278" s="439"/>
      <c r="G278" s="454"/>
      <c r="H278" s="454"/>
      <c r="I278" s="456"/>
      <c r="J278" s="459"/>
      <c r="K278" s="458"/>
      <c r="L278" s="454"/>
      <c r="M278" s="453"/>
      <c r="N278" s="413"/>
      <c r="O278" s="413"/>
      <c r="P278" s="413"/>
      <c r="Q278" s="413"/>
      <c r="R278" s="413"/>
      <c r="S278" s="413"/>
      <c r="T278" s="413"/>
      <c r="U278" s="413"/>
      <c r="V278" s="413"/>
      <c r="W278" s="413"/>
      <c r="X278" s="413"/>
      <c r="Y278" s="413"/>
      <c r="Z278" s="413"/>
    </row>
    <row r="279">
      <c r="A279" s="452"/>
      <c r="B279" s="453"/>
      <c r="C279" s="454"/>
      <c r="D279" s="454"/>
      <c r="E279" s="439"/>
      <c r="F279" s="439"/>
      <c r="G279" s="454"/>
      <c r="H279" s="454"/>
      <c r="I279" s="456"/>
      <c r="J279" s="459"/>
      <c r="K279" s="458"/>
      <c r="L279" s="454"/>
      <c r="M279" s="453"/>
      <c r="N279" s="413"/>
      <c r="O279" s="413"/>
      <c r="P279" s="413"/>
      <c r="Q279" s="413"/>
      <c r="R279" s="413"/>
      <c r="S279" s="413"/>
      <c r="T279" s="413"/>
      <c r="U279" s="413"/>
      <c r="V279" s="413"/>
      <c r="W279" s="413"/>
      <c r="X279" s="413"/>
      <c r="Y279" s="413"/>
      <c r="Z279" s="413"/>
    </row>
    <row r="280">
      <c r="A280" s="452"/>
      <c r="B280" s="453"/>
      <c r="C280" s="454"/>
      <c r="D280" s="454"/>
      <c r="E280" s="439"/>
      <c r="F280" s="439"/>
      <c r="G280" s="454"/>
      <c r="H280" s="454"/>
      <c r="I280" s="456"/>
      <c r="J280" s="459"/>
      <c r="K280" s="458"/>
      <c r="L280" s="454"/>
      <c r="M280" s="453"/>
      <c r="N280" s="413"/>
      <c r="O280" s="413"/>
      <c r="P280" s="413"/>
      <c r="Q280" s="413"/>
      <c r="R280" s="413"/>
      <c r="S280" s="413"/>
      <c r="T280" s="413"/>
      <c r="U280" s="413"/>
      <c r="V280" s="413"/>
      <c r="W280" s="413"/>
      <c r="X280" s="413"/>
      <c r="Y280" s="413"/>
      <c r="Z280" s="413"/>
    </row>
    <row r="281">
      <c r="A281" s="452"/>
      <c r="B281" s="453"/>
      <c r="C281" s="454"/>
      <c r="D281" s="454"/>
      <c r="E281" s="439"/>
      <c r="F281" s="439"/>
      <c r="G281" s="454"/>
      <c r="H281" s="454"/>
      <c r="I281" s="456"/>
      <c r="J281" s="459"/>
      <c r="K281" s="458"/>
      <c r="L281" s="454"/>
      <c r="M281" s="453"/>
      <c r="N281" s="413"/>
      <c r="O281" s="413"/>
      <c r="P281" s="413"/>
      <c r="Q281" s="413"/>
      <c r="R281" s="413"/>
      <c r="S281" s="413"/>
      <c r="T281" s="413"/>
      <c r="U281" s="413"/>
      <c r="V281" s="413"/>
      <c r="W281" s="413"/>
      <c r="X281" s="413"/>
      <c r="Y281" s="413"/>
      <c r="Z281" s="413"/>
    </row>
    <row r="282">
      <c r="A282" s="452"/>
      <c r="B282" s="453"/>
      <c r="C282" s="454"/>
      <c r="D282" s="454"/>
      <c r="E282" s="439"/>
      <c r="F282" s="439"/>
      <c r="G282" s="454"/>
      <c r="H282" s="454"/>
      <c r="I282" s="456"/>
      <c r="J282" s="459"/>
      <c r="K282" s="458"/>
      <c r="L282" s="454"/>
      <c r="M282" s="453"/>
      <c r="N282" s="413"/>
      <c r="O282" s="413"/>
      <c r="P282" s="413"/>
      <c r="Q282" s="413"/>
      <c r="R282" s="413"/>
      <c r="S282" s="413"/>
      <c r="T282" s="413"/>
      <c r="U282" s="413"/>
      <c r="V282" s="413"/>
      <c r="W282" s="413"/>
      <c r="X282" s="413"/>
      <c r="Y282" s="413"/>
      <c r="Z282" s="413"/>
    </row>
    <row r="283">
      <c r="A283" s="452"/>
      <c r="B283" s="453"/>
      <c r="C283" s="454"/>
      <c r="D283" s="454"/>
      <c r="E283" s="439"/>
      <c r="F283" s="439"/>
      <c r="G283" s="454"/>
      <c r="H283" s="454"/>
      <c r="I283" s="456"/>
      <c r="J283" s="459"/>
      <c r="K283" s="458"/>
      <c r="L283" s="454"/>
      <c r="M283" s="453"/>
      <c r="N283" s="413"/>
      <c r="O283" s="413"/>
      <c r="P283" s="413"/>
      <c r="Q283" s="413"/>
      <c r="R283" s="413"/>
      <c r="S283" s="413"/>
      <c r="T283" s="413"/>
      <c r="U283" s="413"/>
      <c r="V283" s="413"/>
      <c r="W283" s="413"/>
      <c r="X283" s="413"/>
      <c r="Y283" s="413"/>
      <c r="Z283" s="413"/>
    </row>
    <row r="284">
      <c r="A284" s="452"/>
      <c r="B284" s="453"/>
      <c r="C284" s="454"/>
      <c r="D284" s="454"/>
      <c r="E284" s="439"/>
      <c r="F284" s="439"/>
      <c r="G284" s="454"/>
      <c r="H284" s="454"/>
      <c r="I284" s="456"/>
      <c r="J284" s="459"/>
      <c r="K284" s="458"/>
      <c r="L284" s="454"/>
      <c r="M284" s="453"/>
      <c r="N284" s="413"/>
      <c r="O284" s="413"/>
      <c r="P284" s="413"/>
      <c r="Q284" s="413"/>
      <c r="R284" s="413"/>
      <c r="S284" s="413"/>
      <c r="T284" s="413"/>
      <c r="U284" s="413"/>
      <c r="V284" s="413"/>
      <c r="W284" s="413"/>
      <c r="X284" s="413"/>
      <c r="Y284" s="413"/>
      <c r="Z284" s="413"/>
    </row>
    <row r="285">
      <c r="A285" s="452"/>
      <c r="B285" s="453"/>
      <c r="C285" s="454"/>
      <c r="D285" s="454"/>
      <c r="E285" s="439"/>
      <c r="F285" s="439"/>
      <c r="G285" s="454"/>
      <c r="H285" s="454"/>
      <c r="I285" s="456"/>
      <c r="J285" s="459"/>
      <c r="K285" s="458"/>
      <c r="L285" s="454"/>
      <c r="M285" s="453"/>
      <c r="N285" s="413"/>
      <c r="O285" s="413"/>
      <c r="P285" s="413"/>
      <c r="Q285" s="413"/>
      <c r="R285" s="413"/>
      <c r="S285" s="413"/>
      <c r="T285" s="413"/>
      <c r="U285" s="413"/>
      <c r="V285" s="413"/>
      <c r="W285" s="413"/>
      <c r="X285" s="413"/>
      <c r="Y285" s="413"/>
      <c r="Z285" s="413"/>
    </row>
    <row r="286">
      <c r="A286" s="452"/>
      <c r="B286" s="453"/>
      <c r="C286" s="454"/>
      <c r="D286" s="454"/>
      <c r="E286" s="439"/>
      <c r="F286" s="439"/>
      <c r="G286" s="454"/>
      <c r="H286" s="454"/>
      <c r="I286" s="456"/>
      <c r="J286" s="459"/>
      <c r="K286" s="458"/>
      <c r="L286" s="454"/>
      <c r="M286" s="453"/>
      <c r="N286" s="413"/>
      <c r="O286" s="413"/>
      <c r="P286" s="413"/>
      <c r="Q286" s="413"/>
      <c r="R286" s="413"/>
      <c r="S286" s="413"/>
      <c r="T286" s="413"/>
      <c r="U286" s="413"/>
      <c r="V286" s="413"/>
      <c r="W286" s="413"/>
      <c r="X286" s="413"/>
      <c r="Y286" s="413"/>
      <c r="Z286" s="413"/>
    </row>
    <row r="287">
      <c r="A287" s="452"/>
      <c r="B287" s="453"/>
      <c r="C287" s="454"/>
      <c r="D287" s="454"/>
      <c r="E287" s="439"/>
      <c r="F287" s="439"/>
      <c r="G287" s="454"/>
      <c r="H287" s="454"/>
      <c r="I287" s="456"/>
      <c r="J287" s="459"/>
      <c r="K287" s="458"/>
      <c r="L287" s="454"/>
      <c r="M287" s="453"/>
      <c r="N287" s="413"/>
      <c r="O287" s="413"/>
      <c r="P287" s="413"/>
      <c r="Q287" s="413"/>
      <c r="R287" s="413"/>
      <c r="S287" s="413"/>
      <c r="T287" s="413"/>
      <c r="U287" s="413"/>
      <c r="V287" s="413"/>
      <c r="W287" s="413"/>
      <c r="X287" s="413"/>
      <c r="Y287" s="413"/>
      <c r="Z287" s="413"/>
    </row>
    <row r="288">
      <c r="A288" s="452"/>
      <c r="B288" s="453"/>
      <c r="C288" s="454"/>
      <c r="D288" s="454"/>
      <c r="E288" s="439"/>
      <c r="F288" s="439"/>
      <c r="G288" s="454"/>
      <c r="H288" s="454"/>
      <c r="I288" s="456"/>
      <c r="J288" s="459"/>
      <c r="K288" s="458"/>
      <c r="L288" s="454"/>
      <c r="M288" s="453"/>
      <c r="N288" s="413"/>
      <c r="O288" s="413"/>
      <c r="P288" s="413"/>
      <c r="Q288" s="413"/>
      <c r="R288" s="413"/>
      <c r="S288" s="413"/>
      <c r="T288" s="413"/>
      <c r="U288" s="413"/>
      <c r="V288" s="413"/>
      <c r="W288" s="413"/>
      <c r="X288" s="413"/>
      <c r="Y288" s="413"/>
      <c r="Z288" s="413"/>
    </row>
    <row r="289">
      <c r="A289" s="452"/>
      <c r="B289" s="453"/>
      <c r="C289" s="454"/>
      <c r="D289" s="454"/>
      <c r="E289" s="439"/>
      <c r="F289" s="439"/>
      <c r="G289" s="454"/>
      <c r="H289" s="454"/>
      <c r="I289" s="456"/>
      <c r="J289" s="459"/>
      <c r="K289" s="458"/>
      <c r="L289" s="454"/>
      <c r="M289" s="453"/>
      <c r="N289" s="413"/>
      <c r="O289" s="413"/>
      <c r="P289" s="413"/>
      <c r="Q289" s="413"/>
      <c r="R289" s="413"/>
      <c r="S289" s="413"/>
      <c r="T289" s="413"/>
      <c r="U289" s="413"/>
      <c r="V289" s="413"/>
      <c r="W289" s="413"/>
      <c r="X289" s="413"/>
      <c r="Y289" s="413"/>
      <c r="Z289" s="413"/>
    </row>
    <row r="290">
      <c r="A290" s="452"/>
      <c r="B290" s="453"/>
      <c r="C290" s="454"/>
      <c r="D290" s="454"/>
      <c r="E290" s="439"/>
      <c r="F290" s="439"/>
      <c r="G290" s="454"/>
      <c r="H290" s="454"/>
      <c r="I290" s="456"/>
      <c r="J290" s="459"/>
      <c r="K290" s="458"/>
      <c r="L290" s="454"/>
      <c r="M290" s="453"/>
      <c r="N290" s="413"/>
      <c r="O290" s="413"/>
      <c r="P290" s="413"/>
      <c r="Q290" s="413"/>
      <c r="R290" s="413"/>
      <c r="S290" s="413"/>
      <c r="T290" s="413"/>
      <c r="U290" s="413"/>
      <c r="V290" s="413"/>
      <c r="W290" s="413"/>
      <c r="X290" s="413"/>
      <c r="Y290" s="413"/>
      <c r="Z290" s="413"/>
    </row>
    <row r="291">
      <c r="A291" s="452"/>
      <c r="B291" s="453"/>
      <c r="C291" s="454"/>
      <c r="D291" s="454"/>
      <c r="E291" s="439"/>
      <c r="F291" s="439"/>
      <c r="G291" s="454"/>
      <c r="H291" s="454"/>
      <c r="I291" s="456"/>
      <c r="J291" s="459"/>
      <c r="K291" s="458"/>
      <c r="L291" s="454"/>
      <c r="M291" s="453"/>
      <c r="N291" s="413"/>
      <c r="O291" s="413"/>
      <c r="P291" s="413"/>
      <c r="Q291" s="413"/>
      <c r="R291" s="413"/>
      <c r="S291" s="413"/>
      <c r="T291" s="413"/>
      <c r="U291" s="413"/>
      <c r="V291" s="413"/>
      <c r="W291" s="413"/>
      <c r="X291" s="413"/>
      <c r="Y291" s="413"/>
      <c r="Z291" s="413"/>
    </row>
    <row r="292">
      <c r="A292" s="452"/>
      <c r="B292" s="453"/>
      <c r="C292" s="454"/>
      <c r="D292" s="454"/>
      <c r="E292" s="439"/>
      <c r="F292" s="439"/>
      <c r="G292" s="454"/>
      <c r="H292" s="454"/>
      <c r="I292" s="456"/>
      <c r="J292" s="459"/>
      <c r="K292" s="458"/>
      <c r="L292" s="454"/>
      <c r="M292" s="453"/>
      <c r="N292" s="413"/>
      <c r="O292" s="413"/>
      <c r="P292" s="413"/>
      <c r="Q292" s="413"/>
      <c r="R292" s="413"/>
      <c r="S292" s="413"/>
      <c r="T292" s="413"/>
      <c r="U292" s="413"/>
      <c r="V292" s="413"/>
      <c r="W292" s="413"/>
      <c r="X292" s="413"/>
      <c r="Y292" s="413"/>
      <c r="Z292" s="413"/>
    </row>
    <row r="293">
      <c r="A293" s="452"/>
      <c r="B293" s="453"/>
      <c r="C293" s="454"/>
      <c r="D293" s="454"/>
      <c r="E293" s="439"/>
      <c r="F293" s="439"/>
      <c r="G293" s="454"/>
      <c r="H293" s="454"/>
      <c r="I293" s="456"/>
      <c r="J293" s="459"/>
      <c r="K293" s="458"/>
      <c r="L293" s="454"/>
      <c r="M293" s="453"/>
      <c r="N293" s="413"/>
      <c r="O293" s="413"/>
      <c r="P293" s="413"/>
      <c r="Q293" s="413"/>
      <c r="R293" s="413"/>
      <c r="S293" s="413"/>
      <c r="T293" s="413"/>
      <c r="U293" s="413"/>
      <c r="V293" s="413"/>
      <c r="W293" s="413"/>
      <c r="X293" s="413"/>
      <c r="Y293" s="413"/>
      <c r="Z293" s="413"/>
    </row>
    <row r="294">
      <c r="A294" s="452"/>
      <c r="B294" s="453"/>
      <c r="C294" s="454"/>
      <c r="D294" s="454"/>
      <c r="E294" s="439"/>
      <c r="F294" s="439"/>
      <c r="G294" s="454"/>
      <c r="H294" s="454"/>
      <c r="I294" s="456"/>
      <c r="J294" s="459"/>
      <c r="K294" s="458"/>
      <c r="L294" s="454"/>
      <c r="M294" s="453"/>
      <c r="N294" s="413"/>
      <c r="O294" s="413"/>
      <c r="P294" s="413"/>
      <c r="Q294" s="413"/>
      <c r="R294" s="413"/>
      <c r="S294" s="413"/>
      <c r="T294" s="413"/>
      <c r="U294" s="413"/>
      <c r="V294" s="413"/>
      <c r="W294" s="413"/>
      <c r="X294" s="413"/>
      <c r="Y294" s="413"/>
      <c r="Z294" s="413"/>
    </row>
    <row r="295">
      <c r="A295" s="452"/>
      <c r="B295" s="453"/>
      <c r="C295" s="454"/>
      <c r="D295" s="454"/>
      <c r="E295" s="439"/>
      <c r="F295" s="439"/>
      <c r="G295" s="454"/>
      <c r="H295" s="454"/>
      <c r="I295" s="456"/>
      <c r="J295" s="459"/>
      <c r="K295" s="458"/>
      <c r="L295" s="454"/>
      <c r="M295" s="453"/>
      <c r="N295" s="413"/>
      <c r="O295" s="413"/>
      <c r="P295" s="413"/>
      <c r="Q295" s="413"/>
      <c r="R295" s="413"/>
      <c r="S295" s="413"/>
      <c r="T295" s="413"/>
      <c r="U295" s="413"/>
      <c r="V295" s="413"/>
      <c r="W295" s="413"/>
      <c r="X295" s="413"/>
      <c r="Y295" s="413"/>
      <c r="Z295" s="413"/>
    </row>
    <row r="296">
      <c r="A296" s="452"/>
      <c r="B296" s="453"/>
      <c r="C296" s="454"/>
      <c r="D296" s="454"/>
      <c r="E296" s="439"/>
      <c r="F296" s="439"/>
      <c r="G296" s="454"/>
      <c r="H296" s="454"/>
      <c r="I296" s="456"/>
      <c r="J296" s="459"/>
      <c r="K296" s="458"/>
      <c r="L296" s="454"/>
      <c r="M296" s="453"/>
      <c r="N296" s="413"/>
      <c r="O296" s="413"/>
      <c r="P296" s="413"/>
      <c r="Q296" s="413"/>
      <c r="R296" s="413"/>
      <c r="S296" s="413"/>
      <c r="T296" s="413"/>
      <c r="U296" s="413"/>
      <c r="V296" s="413"/>
      <c r="W296" s="413"/>
      <c r="X296" s="413"/>
      <c r="Y296" s="413"/>
      <c r="Z296" s="413"/>
    </row>
    <row r="297">
      <c r="A297" s="452"/>
      <c r="B297" s="453"/>
      <c r="C297" s="454"/>
      <c r="D297" s="454"/>
      <c r="E297" s="439"/>
      <c r="F297" s="439"/>
      <c r="G297" s="454"/>
      <c r="H297" s="454"/>
      <c r="I297" s="456"/>
      <c r="J297" s="459"/>
      <c r="K297" s="458"/>
      <c r="L297" s="454"/>
      <c r="M297" s="453"/>
      <c r="N297" s="413"/>
      <c r="O297" s="413"/>
      <c r="P297" s="413"/>
      <c r="Q297" s="413"/>
      <c r="R297" s="413"/>
      <c r="S297" s="413"/>
      <c r="T297" s="413"/>
      <c r="U297" s="413"/>
      <c r="V297" s="413"/>
      <c r="W297" s="413"/>
      <c r="X297" s="413"/>
      <c r="Y297" s="413"/>
      <c r="Z297" s="413"/>
    </row>
    <row r="298">
      <c r="A298" s="452"/>
      <c r="B298" s="453"/>
      <c r="C298" s="454"/>
      <c r="D298" s="454"/>
      <c r="E298" s="439"/>
      <c r="F298" s="439"/>
      <c r="G298" s="454"/>
      <c r="H298" s="454"/>
      <c r="I298" s="456"/>
      <c r="J298" s="459"/>
      <c r="K298" s="458"/>
      <c r="L298" s="454"/>
      <c r="M298" s="453"/>
      <c r="N298" s="413"/>
      <c r="O298" s="413"/>
      <c r="P298" s="413"/>
      <c r="Q298" s="413"/>
      <c r="R298" s="413"/>
      <c r="S298" s="413"/>
      <c r="T298" s="413"/>
      <c r="U298" s="413"/>
      <c r="V298" s="413"/>
      <c r="W298" s="413"/>
      <c r="X298" s="413"/>
      <c r="Y298" s="413"/>
      <c r="Z298" s="413"/>
    </row>
    <row r="299">
      <c r="A299" s="452"/>
      <c r="B299" s="453"/>
      <c r="C299" s="454"/>
      <c r="D299" s="454"/>
      <c r="E299" s="439"/>
      <c r="F299" s="439"/>
      <c r="G299" s="454"/>
      <c r="H299" s="454"/>
      <c r="I299" s="456"/>
      <c r="J299" s="459"/>
      <c r="K299" s="458"/>
      <c r="L299" s="454"/>
      <c r="M299" s="453"/>
      <c r="N299" s="413"/>
      <c r="O299" s="413"/>
      <c r="P299" s="413"/>
      <c r="Q299" s="413"/>
      <c r="R299" s="413"/>
      <c r="S299" s="413"/>
      <c r="T299" s="413"/>
      <c r="U299" s="413"/>
      <c r="V299" s="413"/>
      <c r="W299" s="413"/>
      <c r="X299" s="413"/>
      <c r="Y299" s="413"/>
      <c r="Z299" s="413"/>
    </row>
    <row r="300">
      <c r="A300" s="452"/>
      <c r="B300" s="453"/>
      <c r="C300" s="454"/>
      <c r="D300" s="454"/>
      <c r="E300" s="439"/>
      <c r="F300" s="439"/>
      <c r="G300" s="454"/>
      <c r="H300" s="454"/>
      <c r="I300" s="456"/>
      <c r="J300" s="459"/>
      <c r="K300" s="458"/>
      <c r="L300" s="454"/>
      <c r="M300" s="453"/>
      <c r="N300" s="413"/>
      <c r="O300" s="413"/>
      <c r="P300" s="413"/>
      <c r="Q300" s="413"/>
      <c r="R300" s="413"/>
      <c r="S300" s="413"/>
      <c r="T300" s="413"/>
      <c r="U300" s="413"/>
      <c r="V300" s="413"/>
      <c r="W300" s="413"/>
      <c r="X300" s="413"/>
      <c r="Y300" s="413"/>
      <c r="Z300" s="413"/>
    </row>
    <row r="301">
      <c r="A301" s="452"/>
      <c r="B301" s="453"/>
      <c r="C301" s="454"/>
      <c r="D301" s="454"/>
      <c r="E301" s="439"/>
      <c r="F301" s="439"/>
      <c r="G301" s="454"/>
      <c r="H301" s="454"/>
      <c r="I301" s="456"/>
      <c r="J301" s="459"/>
      <c r="K301" s="458"/>
      <c r="L301" s="454"/>
      <c r="M301" s="453"/>
      <c r="N301" s="413"/>
      <c r="O301" s="413"/>
      <c r="P301" s="413"/>
      <c r="Q301" s="413"/>
      <c r="R301" s="413"/>
      <c r="S301" s="413"/>
      <c r="T301" s="413"/>
      <c r="U301" s="413"/>
      <c r="V301" s="413"/>
      <c r="W301" s="413"/>
      <c r="X301" s="413"/>
      <c r="Y301" s="413"/>
      <c r="Z301" s="413"/>
    </row>
    <row r="302">
      <c r="A302" s="452"/>
      <c r="B302" s="453"/>
      <c r="C302" s="454"/>
      <c r="D302" s="454"/>
      <c r="E302" s="439"/>
      <c r="F302" s="439"/>
      <c r="G302" s="454"/>
      <c r="H302" s="454"/>
      <c r="I302" s="456"/>
      <c r="J302" s="459"/>
      <c r="K302" s="458"/>
      <c r="L302" s="454"/>
      <c r="M302" s="453"/>
      <c r="N302" s="413"/>
      <c r="O302" s="413"/>
      <c r="P302" s="413"/>
      <c r="Q302" s="413"/>
      <c r="R302" s="413"/>
      <c r="S302" s="413"/>
      <c r="T302" s="413"/>
      <c r="U302" s="413"/>
      <c r="V302" s="413"/>
      <c r="W302" s="413"/>
      <c r="X302" s="413"/>
      <c r="Y302" s="413"/>
      <c r="Z302" s="413"/>
    </row>
    <row r="303">
      <c r="A303" s="452"/>
      <c r="B303" s="453"/>
      <c r="C303" s="454"/>
      <c r="D303" s="454"/>
      <c r="E303" s="439"/>
      <c r="F303" s="439"/>
      <c r="G303" s="454"/>
      <c r="H303" s="454"/>
      <c r="I303" s="456"/>
      <c r="J303" s="459"/>
      <c r="K303" s="458"/>
      <c r="L303" s="454"/>
      <c r="M303" s="453"/>
      <c r="N303" s="413"/>
      <c r="O303" s="413"/>
      <c r="P303" s="413"/>
      <c r="Q303" s="413"/>
      <c r="R303" s="413"/>
      <c r="S303" s="413"/>
      <c r="T303" s="413"/>
      <c r="U303" s="413"/>
      <c r="V303" s="413"/>
      <c r="W303" s="413"/>
      <c r="X303" s="413"/>
      <c r="Y303" s="413"/>
      <c r="Z303" s="413"/>
    </row>
    <row r="304">
      <c r="A304" s="452"/>
      <c r="B304" s="453"/>
      <c r="C304" s="454"/>
      <c r="D304" s="454"/>
      <c r="E304" s="439"/>
      <c r="F304" s="439"/>
      <c r="G304" s="454"/>
      <c r="H304" s="454"/>
      <c r="I304" s="456"/>
      <c r="J304" s="459"/>
      <c r="K304" s="458"/>
      <c r="L304" s="454"/>
      <c r="M304" s="453"/>
      <c r="N304" s="413"/>
      <c r="O304" s="413"/>
      <c r="P304" s="413"/>
      <c r="Q304" s="413"/>
      <c r="R304" s="413"/>
      <c r="S304" s="413"/>
      <c r="T304" s="413"/>
      <c r="U304" s="413"/>
      <c r="V304" s="413"/>
      <c r="W304" s="413"/>
      <c r="X304" s="413"/>
      <c r="Y304" s="413"/>
      <c r="Z304" s="413"/>
    </row>
    <row r="305">
      <c r="A305" s="452"/>
      <c r="B305" s="453"/>
      <c r="C305" s="454"/>
      <c r="D305" s="454"/>
      <c r="E305" s="439"/>
      <c r="F305" s="439"/>
      <c r="G305" s="454"/>
      <c r="H305" s="454"/>
      <c r="I305" s="456"/>
      <c r="J305" s="459"/>
      <c r="K305" s="458"/>
      <c r="L305" s="454"/>
      <c r="M305" s="453"/>
      <c r="N305" s="413"/>
      <c r="O305" s="413"/>
      <c r="P305" s="413"/>
      <c r="Q305" s="413"/>
      <c r="R305" s="413"/>
      <c r="S305" s="413"/>
      <c r="T305" s="413"/>
      <c r="U305" s="413"/>
      <c r="V305" s="413"/>
      <c r="W305" s="413"/>
      <c r="X305" s="413"/>
      <c r="Y305" s="413"/>
      <c r="Z305" s="413"/>
    </row>
    <row r="306">
      <c r="A306" s="452"/>
      <c r="B306" s="453"/>
      <c r="C306" s="454"/>
      <c r="D306" s="454"/>
      <c r="E306" s="439"/>
      <c r="F306" s="439"/>
      <c r="G306" s="454"/>
      <c r="H306" s="454"/>
      <c r="I306" s="456"/>
      <c r="J306" s="459"/>
      <c r="K306" s="458"/>
      <c r="L306" s="454"/>
      <c r="M306" s="453"/>
      <c r="N306" s="413"/>
      <c r="O306" s="413"/>
      <c r="P306" s="413"/>
      <c r="Q306" s="413"/>
      <c r="R306" s="413"/>
      <c r="S306" s="413"/>
      <c r="T306" s="413"/>
      <c r="U306" s="413"/>
      <c r="V306" s="413"/>
      <c r="W306" s="413"/>
      <c r="X306" s="413"/>
      <c r="Y306" s="413"/>
      <c r="Z306" s="413"/>
    </row>
    <row r="307">
      <c r="A307" s="452"/>
      <c r="B307" s="453"/>
      <c r="C307" s="454"/>
      <c r="D307" s="454"/>
      <c r="E307" s="439"/>
      <c r="F307" s="439"/>
      <c r="G307" s="454"/>
      <c r="H307" s="454"/>
      <c r="I307" s="456"/>
      <c r="J307" s="459"/>
      <c r="K307" s="458"/>
      <c r="L307" s="454"/>
      <c r="M307" s="453"/>
      <c r="N307" s="413"/>
      <c r="O307" s="413"/>
      <c r="P307" s="413"/>
      <c r="Q307" s="413"/>
      <c r="R307" s="413"/>
      <c r="S307" s="413"/>
      <c r="T307" s="413"/>
      <c r="U307" s="413"/>
      <c r="V307" s="413"/>
      <c r="W307" s="413"/>
      <c r="X307" s="413"/>
      <c r="Y307" s="413"/>
      <c r="Z307" s="413"/>
    </row>
    <row r="308">
      <c r="A308" s="452"/>
      <c r="B308" s="453"/>
      <c r="C308" s="454"/>
      <c r="D308" s="454"/>
      <c r="E308" s="439"/>
      <c r="F308" s="439"/>
      <c r="G308" s="454"/>
      <c r="H308" s="454"/>
      <c r="I308" s="456"/>
      <c r="J308" s="459"/>
      <c r="K308" s="458"/>
      <c r="L308" s="454"/>
      <c r="M308" s="453"/>
      <c r="N308" s="413"/>
      <c r="O308" s="413"/>
      <c r="P308" s="413"/>
      <c r="Q308" s="413"/>
      <c r="R308" s="413"/>
      <c r="S308" s="413"/>
      <c r="T308" s="413"/>
      <c r="U308" s="413"/>
      <c r="V308" s="413"/>
      <c r="W308" s="413"/>
      <c r="X308" s="413"/>
      <c r="Y308" s="413"/>
      <c r="Z308" s="413"/>
    </row>
    <row r="309">
      <c r="A309" s="452"/>
      <c r="B309" s="453"/>
      <c r="C309" s="454"/>
      <c r="D309" s="454"/>
      <c r="E309" s="439"/>
      <c r="F309" s="439"/>
      <c r="G309" s="454"/>
      <c r="H309" s="454"/>
      <c r="I309" s="456"/>
      <c r="J309" s="459"/>
      <c r="K309" s="458"/>
      <c r="L309" s="454"/>
      <c r="M309" s="453"/>
      <c r="N309" s="413"/>
      <c r="O309" s="413"/>
      <c r="P309" s="413"/>
      <c r="Q309" s="413"/>
      <c r="R309" s="413"/>
      <c r="S309" s="413"/>
      <c r="T309" s="413"/>
      <c r="U309" s="413"/>
      <c r="V309" s="413"/>
      <c r="W309" s="413"/>
      <c r="X309" s="413"/>
      <c r="Y309" s="413"/>
      <c r="Z309" s="413"/>
    </row>
    <row r="310">
      <c r="A310" s="452"/>
      <c r="B310" s="453"/>
      <c r="C310" s="454"/>
      <c r="D310" s="454"/>
      <c r="E310" s="439"/>
      <c r="F310" s="439"/>
      <c r="G310" s="454"/>
      <c r="H310" s="454"/>
      <c r="I310" s="456"/>
      <c r="J310" s="459"/>
      <c r="K310" s="458"/>
      <c r="L310" s="454"/>
      <c r="M310" s="453"/>
      <c r="N310" s="413"/>
      <c r="O310" s="413"/>
      <c r="P310" s="413"/>
      <c r="Q310" s="413"/>
      <c r="R310" s="413"/>
      <c r="S310" s="413"/>
      <c r="T310" s="413"/>
      <c r="U310" s="413"/>
      <c r="V310" s="413"/>
      <c r="W310" s="413"/>
      <c r="X310" s="413"/>
      <c r="Y310" s="413"/>
      <c r="Z310" s="413"/>
    </row>
    <row r="311">
      <c r="A311" s="452"/>
      <c r="B311" s="453"/>
      <c r="C311" s="454"/>
      <c r="D311" s="454"/>
      <c r="E311" s="439"/>
      <c r="F311" s="439"/>
      <c r="G311" s="454"/>
      <c r="H311" s="454"/>
      <c r="I311" s="456"/>
      <c r="J311" s="459"/>
      <c r="K311" s="458"/>
      <c r="L311" s="454"/>
      <c r="M311" s="453"/>
      <c r="N311" s="413"/>
      <c r="O311" s="413"/>
      <c r="P311" s="413"/>
      <c r="Q311" s="413"/>
      <c r="R311" s="413"/>
      <c r="S311" s="413"/>
      <c r="T311" s="413"/>
      <c r="U311" s="413"/>
      <c r="V311" s="413"/>
      <c r="W311" s="413"/>
      <c r="X311" s="413"/>
      <c r="Y311" s="413"/>
      <c r="Z311" s="413"/>
    </row>
    <row r="312">
      <c r="A312" s="452"/>
      <c r="B312" s="453"/>
      <c r="C312" s="454"/>
      <c r="D312" s="454"/>
      <c r="E312" s="439"/>
      <c r="F312" s="439"/>
      <c r="G312" s="454"/>
      <c r="H312" s="454"/>
      <c r="I312" s="456"/>
      <c r="J312" s="459"/>
      <c r="K312" s="458"/>
      <c r="L312" s="454"/>
      <c r="M312" s="453"/>
      <c r="N312" s="413"/>
      <c r="O312" s="413"/>
      <c r="P312" s="413"/>
      <c r="Q312" s="413"/>
      <c r="R312" s="413"/>
      <c r="S312" s="413"/>
      <c r="T312" s="413"/>
      <c r="U312" s="413"/>
      <c r="V312" s="413"/>
      <c r="W312" s="413"/>
      <c r="X312" s="413"/>
      <c r="Y312" s="413"/>
      <c r="Z312" s="413"/>
    </row>
    <row r="313">
      <c r="A313" s="452"/>
      <c r="B313" s="453"/>
      <c r="C313" s="454"/>
      <c r="D313" s="454"/>
      <c r="E313" s="439"/>
      <c r="F313" s="439"/>
      <c r="G313" s="454"/>
      <c r="H313" s="454"/>
      <c r="I313" s="456"/>
      <c r="J313" s="459"/>
      <c r="K313" s="458"/>
      <c r="L313" s="454"/>
      <c r="M313" s="453"/>
      <c r="N313" s="413"/>
      <c r="O313" s="413"/>
      <c r="P313" s="413"/>
      <c r="Q313" s="413"/>
      <c r="R313" s="413"/>
      <c r="S313" s="413"/>
      <c r="T313" s="413"/>
      <c r="U313" s="413"/>
      <c r="V313" s="413"/>
      <c r="W313" s="413"/>
      <c r="X313" s="413"/>
      <c r="Y313" s="413"/>
      <c r="Z313" s="413"/>
    </row>
    <row r="314">
      <c r="A314" s="452"/>
      <c r="B314" s="453"/>
      <c r="C314" s="454"/>
      <c r="D314" s="454"/>
      <c r="E314" s="439"/>
      <c r="F314" s="439"/>
      <c r="G314" s="454"/>
      <c r="H314" s="454"/>
      <c r="I314" s="456"/>
      <c r="J314" s="459"/>
      <c r="K314" s="458"/>
      <c r="L314" s="454"/>
      <c r="M314" s="453"/>
      <c r="N314" s="413"/>
      <c r="O314" s="413"/>
      <c r="P314" s="413"/>
      <c r="Q314" s="413"/>
      <c r="R314" s="413"/>
      <c r="S314" s="413"/>
      <c r="T314" s="413"/>
      <c r="U314" s="413"/>
      <c r="V314" s="413"/>
      <c r="W314" s="413"/>
      <c r="X314" s="413"/>
      <c r="Y314" s="413"/>
      <c r="Z314" s="413"/>
    </row>
    <row r="315">
      <c r="A315" s="452"/>
      <c r="B315" s="453"/>
      <c r="C315" s="454"/>
      <c r="D315" s="454"/>
      <c r="E315" s="439"/>
      <c r="F315" s="439"/>
      <c r="G315" s="454"/>
      <c r="H315" s="454"/>
      <c r="I315" s="456"/>
      <c r="J315" s="459"/>
      <c r="K315" s="458"/>
      <c r="L315" s="454"/>
      <c r="M315" s="453"/>
      <c r="N315" s="413"/>
      <c r="O315" s="413"/>
      <c r="P315" s="413"/>
      <c r="Q315" s="413"/>
      <c r="R315" s="413"/>
      <c r="S315" s="413"/>
      <c r="T315" s="413"/>
      <c r="U315" s="413"/>
      <c r="V315" s="413"/>
      <c r="W315" s="413"/>
      <c r="X315" s="413"/>
      <c r="Y315" s="413"/>
      <c r="Z315" s="413"/>
    </row>
    <row r="316">
      <c r="A316" s="452"/>
      <c r="B316" s="453"/>
      <c r="C316" s="454"/>
      <c r="D316" s="454"/>
      <c r="E316" s="439"/>
      <c r="F316" s="439"/>
      <c r="G316" s="454"/>
      <c r="H316" s="454"/>
      <c r="I316" s="456"/>
      <c r="J316" s="459"/>
      <c r="K316" s="458"/>
      <c r="L316" s="454"/>
      <c r="M316" s="453"/>
      <c r="N316" s="413"/>
      <c r="O316" s="413"/>
      <c r="P316" s="413"/>
      <c r="Q316" s="413"/>
      <c r="R316" s="413"/>
      <c r="S316" s="413"/>
      <c r="T316" s="413"/>
      <c r="U316" s="413"/>
      <c r="V316" s="413"/>
      <c r="W316" s="413"/>
      <c r="X316" s="413"/>
      <c r="Y316" s="413"/>
      <c r="Z316" s="413"/>
    </row>
    <row r="317">
      <c r="A317" s="452"/>
      <c r="B317" s="453"/>
      <c r="C317" s="454"/>
      <c r="D317" s="454"/>
      <c r="E317" s="439"/>
      <c r="F317" s="439"/>
      <c r="G317" s="454"/>
      <c r="H317" s="454"/>
      <c r="I317" s="456"/>
      <c r="J317" s="459"/>
      <c r="K317" s="458"/>
      <c r="L317" s="454"/>
      <c r="M317" s="453"/>
      <c r="N317" s="413"/>
      <c r="O317" s="413"/>
      <c r="P317" s="413"/>
      <c r="Q317" s="413"/>
      <c r="R317" s="413"/>
      <c r="S317" s="413"/>
      <c r="T317" s="413"/>
      <c r="U317" s="413"/>
      <c r="V317" s="413"/>
      <c r="W317" s="413"/>
      <c r="X317" s="413"/>
      <c r="Y317" s="413"/>
      <c r="Z317" s="413"/>
    </row>
    <row r="318">
      <c r="A318" s="452"/>
      <c r="B318" s="453"/>
      <c r="C318" s="454"/>
      <c r="D318" s="454"/>
      <c r="E318" s="439"/>
      <c r="F318" s="439"/>
      <c r="G318" s="454"/>
      <c r="H318" s="454"/>
      <c r="I318" s="456"/>
      <c r="J318" s="459"/>
      <c r="K318" s="458"/>
      <c r="L318" s="454"/>
      <c r="M318" s="453"/>
      <c r="N318" s="413"/>
      <c r="O318" s="413"/>
      <c r="P318" s="413"/>
      <c r="Q318" s="413"/>
      <c r="R318" s="413"/>
      <c r="S318" s="413"/>
      <c r="T318" s="413"/>
      <c r="U318" s="413"/>
      <c r="V318" s="413"/>
      <c r="W318" s="413"/>
      <c r="X318" s="413"/>
      <c r="Y318" s="413"/>
      <c r="Z318" s="413"/>
    </row>
    <row r="319">
      <c r="A319" s="452"/>
      <c r="B319" s="453"/>
      <c r="C319" s="454"/>
      <c r="D319" s="454"/>
      <c r="E319" s="439"/>
      <c r="F319" s="439"/>
      <c r="G319" s="454"/>
      <c r="H319" s="454"/>
      <c r="I319" s="456"/>
      <c r="J319" s="459"/>
      <c r="K319" s="458"/>
      <c r="L319" s="454"/>
      <c r="M319" s="453"/>
      <c r="N319" s="413"/>
      <c r="O319" s="413"/>
      <c r="P319" s="413"/>
      <c r="Q319" s="413"/>
      <c r="R319" s="413"/>
      <c r="S319" s="413"/>
      <c r="T319" s="413"/>
      <c r="U319" s="413"/>
      <c r="V319" s="413"/>
      <c r="W319" s="413"/>
      <c r="X319" s="413"/>
      <c r="Y319" s="413"/>
      <c r="Z319" s="413"/>
    </row>
    <row r="320">
      <c r="A320" s="452"/>
      <c r="B320" s="453"/>
      <c r="C320" s="454"/>
      <c r="D320" s="454"/>
      <c r="E320" s="439"/>
      <c r="F320" s="439"/>
      <c r="G320" s="454"/>
      <c r="H320" s="454"/>
      <c r="I320" s="456"/>
      <c r="J320" s="459"/>
      <c r="K320" s="458"/>
      <c r="L320" s="454"/>
      <c r="M320" s="453"/>
      <c r="N320" s="413"/>
      <c r="O320" s="413"/>
      <c r="P320" s="413"/>
      <c r="Q320" s="413"/>
      <c r="R320" s="413"/>
      <c r="S320" s="413"/>
      <c r="T320" s="413"/>
      <c r="U320" s="413"/>
      <c r="V320" s="413"/>
      <c r="W320" s="413"/>
      <c r="X320" s="413"/>
      <c r="Y320" s="413"/>
      <c r="Z320" s="413"/>
    </row>
    <row r="321">
      <c r="A321" s="452"/>
      <c r="B321" s="453"/>
      <c r="C321" s="454"/>
      <c r="D321" s="454"/>
      <c r="E321" s="439"/>
      <c r="F321" s="439"/>
      <c r="G321" s="454"/>
      <c r="H321" s="454"/>
      <c r="I321" s="456"/>
      <c r="J321" s="459"/>
      <c r="K321" s="458"/>
      <c r="L321" s="454"/>
      <c r="M321" s="453"/>
      <c r="N321" s="413"/>
      <c r="O321" s="413"/>
      <c r="P321" s="413"/>
      <c r="Q321" s="413"/>
      <c r="R321" s="413"/>
      <c r="S321" s="413"/>
      <c r="T321" s="413"/>
      <c r="U321" s="413"/>
      <c r="V321" s="413"/>
      <c r="W321" s="413"/>
      <c r="X321" s="413"/>
      <c r="Y321" s="413"/>
      <c r="Z321" s="413"/>
    </row>
    <row r="322">
      <c r="A322" s="452"/>
      <c r="B322" s="453"/>
      <c r="C322" s="454"/>
      <c r="D322" s="454"/>
      <c r="E322" s="439"/>
      <c r="F322" s="439"/>
      <c r="G322" s="454"/>
      <c r="H322" s="454"/>
      <c r="I322" s="456"/>
      <c r="J322" s="459"/>
      <c r="K322" s="458"/>
      <c r="L322" s="454"/>
      <c r="M322" s="453"/>
      <c r="N322" s="413"/>
      <c r="O322" s="413"/>
      <c r="P322" s="413"/>
      <c r="Q322" s="413"/>
      <c r="R322" s="413"/>
      <c r="S322" s="413"/>
      <c r="T322" s="413"/>
      <c r="U322" s="413"/>
      <c r="V322" s="413"/>
      <c r="W322" s="413"/>
      <c r="X322" s="413"/>
      <c r="Y322" s="413"/>
      <c r="Z322" s="413"/>
    </row>
    <row r="323">
      <c r="A323" s="452"/>
      <c r="B323" s="453"/>
      <c r="C323" s="454"/>
      <c r="D323" s="454"/>
      <c r="E323" s="439"/>
      <c r="F323" s="439"/>
      <c r="G323" s="454"/>
      <c r="H323" s="454"/>
      <c r="I323" s="456"/>
      <c r="J323" s="459"/>
      <c r="K323" s="458"/>
      <c r="L323" s="454"/>
      <c r="M323" s="453"/>
      <c r="N323" s="413"/>
      <c r="O323" s="413"/>
      <c r="P323" s="413"/>
      <c r="Q323" s="413"/>
      <c r="R323" s="413"/>
      <c r="S323" s="413"/>
      <c r="T323" s="413"/>
      <c r="U323" s="413"/>
      <c r="V323" s="413"/>
      <c r="W323" s="413"/>
      <c r="X323" s="413"/>
      <c r="Y323" s="413"/>
      <c r="Z323" s="413"/>
    </row>
    <row r="324">
      <c r="A324" s="452"/>
      <c r="B324" s="453"/>
      <c r="C324" s="454"/>
      <c r="D324" s="454"/>
      <c r="E324" s="439"/>
      <c r="F324" s="439"/>
      <c r="G324" s="454"/>
      <c r="H324" s="454"/>
      <c r="I324" s="456"/>
      <c r="J324" s="459"/>
      <c r="K324" s="458"/>
      <c r="L324" s="454"/>
      <c r="M324" s="453"/>
      <c r="N324" s="413"/>
      <c r="O324" s="413"/>
      <c r="P324" s="413"/>
      <c r="Q324" s="413"/>
      <c r="R324" s="413"/>
      <c r="S324" s="413"/>
      <c r="T324" s="413"/>
      <c r="U324" s="413"/>
      <c r="V324" s="413"/>
      <c r="W324" s="413"/>
      <c r="X324" s="413"/>
      <c r="Y324" s="413"/>
      <c r="Z324" s="413"/>
    </row>
    <row r="325">
      <c r="A325" s="452"/>
      <c r="B325" s="453"/>
      <c r="C325" s="454"/>
      <c r="D325" s="454"/>
      <c r="E325" s="439"/>
      <c r="F325" s="439"/>
      <c r="G325" s="454"/>
      <c r="H325" s="454"/>
      <c r="I325" s="456"/>
      <c r="J325" s="459"/>
      <c r="K325" s="458"/>
      <c r="L325" s="454"/>
      <c r="M325" s="453"/>
      <c r="N325" s="413"/>
      <c r="O325" s="413"/>
      <c r="P325" s="413"/>
      <c r="Q325" s="413"/>
      <c r="R325" s="413"/>
      <c r="S325" s="413"/>
      <c r="T325" s="413"/>
      <c r="U325" s="413"/>
      <c r="V325" s="413"/>
      <c r="W325" s="413"/>
      <c r="X325" s="413"/>
      <c r="Y325" s="413"/>
      <c r="Z325" s="413"/>
    </row>
    <row r="326">
      <c r="A326" s="452"/>
      <c r="B326" s="453"/>
      <c r="C326" s="454"/>
      <c r="D326" s="454"/>
      <c r="E326" s="439"/>
      <c r="F326" s="439"/>
      <c r="G326" s="454"/>
      <c r="H326" s="454"/>
      <c r="I326" s="456"/>
      <c r="J326" s="459"/>
      <c r="K326" s="458"/>
      <c r="L326" s="454"/>
      <c r="M326" s="453"/>
      <c r="N326" s="413"/>
      <c r="O326" s="413"/>
      <c r="P326" s="413"/>
      <c r="Q326" s="413"/>
      <c r="R326" s="413"/>
      <c r="S326" s="413"/>
      <c r="T326" s="413"/>
      <c r="U326" s="413"/>
      <c r="V326" s="413"/>
      <c r="W326" s="413"/>
      <c r="X326" s="413"/>
      <c r="Y326" s="413"/>
      <c r="Z326" s="413"/>
    </row>
    <row r="327">
      <c r="A327" s="452"/>
      <c r="B327" s="453"/>
      <c r="C327" s="454"/>
      <c r="D327" s="454"/>
      <c r="E327" s="439"/>
      <c r="F327" s="439"/>
      <c r="G327" s="454"/>
      <c r="H327" s="454"/>
      <c r="I327" s="456"/>
      <c r="J327" s="459"/>
      <c r="K327" s="458"/>
      <c r="L327" s="454"/>
      <c r="M327" s="453"/>
      <c r="N327" s="413"/>
      <c r="O327" s="413"/>
      <c r="P327" s="413"/>
      <c r="Q327" s="413"/>
      <c r="R327" s="413"/>
      <c r="S327" s="413"/>
      <c r="T327" s="413"/>
      <c r="U327" s="413"/>
      <c r="V327" s="413"/>
      <c r="W327" s="413"/>
      <c r="X327" s="413"/>
      <c r="Y327" s="413"/>
      <c r="Z327" s="413"/>
    </row>
    <row r="328">
      <c r="A328" s="452"/>
      <c r="B328" s="453"/>
      <c r="C328" s="454"/>
      <c r="D328" s="454"/>
      <c r="E328" s="439"/>
      <c r="F328" s="439"/>
      <c r="G328" s="454"/>
      <c r="H328" s="454"/>
      <c r="I328" s="456"/>
      <c r="J328" s="459"/>
      <c r="K328" s="458"/>
      <c r="L328" s="454"/>
      <c r="M328" s="453"/>
      <c r="N328" s="413"/>
      <c r="O328" s="413"/>
      <c r="P328" s="413"/>
      <c r="Q328" s="413"/>
      <c r="R328" s="413"/>
      <c r="S328" s="413"/>
      <c r="T328" s="413"/>
      <c r="U328" s="413"/>
      <c r="V328" s="413"/>
      <c r="W328" s="413"/>
      <c r="X328" s="413"/>
      <c r="Y328" s="413"/>
      <c r="Z328" s="413"/>
    </row>
    <row r="329">
      <c r="A329" s="452"/>
      <c r="B329" s="453"/>
      <c r="C329" s="454"/>
      <c r="D329" s="454"/>
      <c r="E329" s="439"/>
      <c r="F329" s="439"/>
      <c r="G329" s="454"/>
      <c r="H329" s="454"/>
      <c r="I329" s="456"/>
      <c r="J329" s="459"/>
      <c r="K329" s="458"/>
      <c r="L329" s="454"/>
      <c r="M329" s="453"/>
      <c r="N329" s="413"/>
      <c r="O329" s="413"/>
      <c r="P329" s="413"/>
      <c r="Q329" s="413"/>
      <c r="R329" s="413"/>
      <c r="S329" s="413"/>
      <c r="T329" s="413"/>
      <c r="U329" s="413"/>
      <c r="V329" s="413"/>
      <c r="W329" s="413"/>
      <c r="X329" s="413"/>
      <c r="Y329" s="413"/>
      <c r="Z329" s="413"/>
    </row>
    <row r="330">
      <c r="A330" s="452"/>
      <c r="B330" s="453"/>
      <c r="C330" s="454"/>
      <c r="D330" s="454"/>
      <c r="E330" s="439"/>
      <c r="F330" s="439"/>
      <c r="G330" s="454"/>
      <c r="H330" s="454"/>
      <c r="I330" s="456"/>
      <c r="J330" s="459"/>
      <c r="K330" s="458"/>
      <c r="L330" s="454"/>
      <c r="M330" s="453"/>
      <c r="N330" s="413"/>
      <c r="O330" s="413"/>
      <c r="P330" s="413"/>
      <c r="Q330" s="413"/>
      <c r="R330" s="413"/>
      <c r="S330" s="413"/>
      <c r="T330" s="413"/>
      <c r="U330" s="413"/>
      <c r="V330" s="413"/>
      <c r="W330" s="413"/>
      <c r="X330" s="413"/>
      <c r="Y330" s="413"/>
      <c r="Z330" s="413"/>
    </row>
    <row r="331">
      <c r="A331" s="452"/>
      <c r="B331" s="453"/>
      <c r="C331" s="454"/>
      <c r="D331" s="454"/>
      <c r="E331" s="439"/>
      <c r="F331" s="439"/>
      <c r="G331" s="454"/>
      <c r="H331" s="454"/>
      <c r="I331" s="456"/>
      <c r="J331" s="459"/>
      <c r="K331" s="458"/>
      <c r="L331" s="454"/>
      <c r="M331" s="453"/>
      <c r="N331" s="413"/>
      <c r="O331" s="413"/>
      <c r="P331" s="413"/>
      <c r="Q331" s="413"/>
      <c r="R331" s="413"/>
      <c r="S331" s="413"/>
      <c r="T331" s="413"/>
      <c r="U331" s="413"/>
      <c r="V331" s="413"/>
      <c r="W331" s="413"/>
      <c r="X331" s="413"/>
      <c r="Y331" s="413"/>
      <c r="Z331" s="413"/>
    </row>
    <row r="332">
      <c r="A332" s="452"/>
      <c r="B332" s="453"/>
      <c r="C332" s="454"/>
      <c r="D332" s="454"/>
      <c r="E332" s="439"/>
      <c r="F332" s="439"/>
      <c r="G332" s="454"/>
      <c r="H332" s="454"/>
      <c r="I332" s="456"/>
      <c r="J332" s="459"/>
      <c r="K332" s="458"/>
      <c r="L332" s="454"/>
      <c r="M332" s="453"/>
      <c r="N332" s="413"/>
      <c r="O332" s="413"/>
      <c r="P332" s="413"/>
      <c r="Q332" s="413"/>
      <c r="R332" s="413"/>
      <c r="S332" s="413"/>
      <c r="T332" s="413"/>
      <c r="U332" s="413"/>
      <c r="V332" s="413"/>
      <c r="W332" s="413"/>
      <c r="X332" s="413"/>
      <c r="Y332" s="413"/>
      <c r="Z332" s="413"/>
    </row>
    <row r="333">
      <c r="A333" s="452"/>
      <c r="B333" s="453"/>
      <c r="C333" s="454"/>
      <c r="D333" s="454"/>
      <c r="E333" s="439"/>
      <c r="F333" s="439"/>
      <c r="G333" s="454"/>
      <c r="H333" s="454"/>
      <c r="I333" s="456"/>
      <c r="J333" s="459"/>
      <c r="K333" s="458"/>
      <c r="L333" s="454"/>
      <c r="M333" s="453"/>
      <c r="N333" s="413"/>
      <c r="O333" s="413"/>
      <c r="P333" s="413"/>
      <c r="Q333" s="413"/>
      <c r="R333" s="413"/>
      <c r="S333" s="413"/>
      <c r="T333" s="413"/>
      <c r="U333" s="413"/>
      <c r="V333" s="413"/>
      <c r="W333" s="413"/>
      <c r="X333" s="413"/>
      <c r="Y333" s="413"/>
      <c r="Z333" s="413"/>
    </row>
    <row r="334">
      <c r="A334" s="452"/>
      <c r="B334" s="453"/>
      <c r="C334" s="454"/>
      <c r="D334" s="454"/>
      <c r="E334" s="439"/>
      <c r="F334" s="439"/>
      <c r="G334" s="454"/>
      <c r="H334" s="454"/>
      <c r="I334" s="456"/>
      <c r="J334" s="459"/>
      <c r="K334" s="458"/>
      <c r="L334" s="454"/>
      <c r="M334" s="453"/>
      <c r="N334" s="413"/>
      <c r="O334" s="413"/>
      <c r="P334" s="413"/>
      <c r="Q334" s="413"/>
      <c r="R334" s="413"/>
      <c r="S334" s="413"/>
      <c r="T334" s="413"/>
      <c r="U334" s="413"/>
      <c r="V334" s="413"/>
      <c r="W334" s="413"/>
      <c r="X334" s="413"/>
      <c r="Y334" s="413"/>
      <c r="Z334" s="413"/>
    </row>
    <row r="335">
      <c r="A335" s="452"/>
      <c r="B335" s="453"/>
      <c r="C335" s="454"/>
      <c r="D335" s="454"/>
      <c r="E335" s="439"/>
      <c r="F335" s="439"/>
      <c r="G335" s="454"/>
      <c r="H335" s="454"/>
      <c r="I335" s="456"/>
      <c r="J335" s="459"/>
      <c r="K335" s="458"/>
      <c r="L335" s="454"/>
      <c r="M335" s="453"/>
      <c r="N335" s="413"/>
      <c r="O335" s="413"/>
      <c r="P335" s="413"/>
      <c r="Q335" s="413"/>
      <c r="R335" s="413"/>
      <c r="S335" s="413"/>
      <c r="T335" s="413"/>
      <c r="U335" s="413"/>
      <c r="V335" s="413"/>
      <c r="W335" s="413"/>
      <c r="X335" s="413"/>
      <c r="Y335" s="413"/>
      <c r="Z335" s="413"/>
    </row>
    <row r="336">
      <c r="A336" s="452"/>
      <c r="B336" s="453"/>
      <c r="C336" s="454"/>
      <c r="D336" s="454"/>
      <c r="E336" s="439"/>
      <c r="F336" s="439"/>
      <c r="G336" s="454"/>
      <c r="H336" s="454"/>
      <c r="I336" s="456"/>
      <c r="J336" s="459"/>
      <c r="K336" s="458"/>
      <c r="L336" s="454"/>
      <c r="M336" s="453"/>
      <c r="N336" s="413"/>
      <c r="O336" s="413"/>
      <c r="P336" s="413"/>
      <c r="Q336" s="413"/>
      <c r="R336" s="413"/>
      <c r="S336" s="413"/>
      <c r="T336" s="413"/>
      <c r="U336" s="413"/>
      <c r="V336" s="413"/>
      <c r="W336" s="413"/>
      <c r="X336" s="413"/>
      <c r="Y336" s="413"/>
      <c r="Z336" s="413"/>
    </row>
    <row r="337">
      <c r="A337" s="452"/>
      <c r="B337" s="453"/>
      <c r="C337" s="454"/>
      <c r="D337" s="454"/>
      <c r="E337" s="439"/>
      <c r="F337" s="439"/>
      <c r="G337" s="454"/>
      <c r="H337" s="454"/>
      <c r="I337" s="456"/>
      <c r="J337" s="459"/>
      <c r="K337" s="458"/>
      <c r="L337" s="454"/>
      <c r="M337" s="453"/>
      <c r="N337" s="413"/>
      <c r="O337" s="413"/>
      <c r="P337" s="413"/>
      <c r="Q337" s="413"/>
      <c r="R337" s="413"/>
      <c r="S337" s="413"/>
      <c r="T337" s="413"/>
      <c r="U337" s="413"/>
      <c r="V337" s="413"/>
      <c r="W337" s="413"/>
      <c r="X337" s="413"/>
      <c r="Y337" s="413"/>
      <c r="Z337" s="413"/>
    </row>
    <row r="338">
      <c r="A338" s="452"/>
      <c r="B338" s="453"/>
      <c r="C338" s="454"/>
      <c r="D338" s="454"/>
      <c r="E338" s="439"/>
      <c r="F338" s="439"/>
      <c r="G338" s="454"/>
      <c r="H338" s="454"/>
      <c r="I338" s="456"/>
      <c r="J338" s="459"/>
      <c r="K338" s="458"/>
      <c r="L338" s="454"/>
      <c r="M338" s="453"/>
      <c r="N338" s="413"/>
      <c r="O338" s="413"/>
      <c r="P338" s="413"/>
      <c r="Q338" s="413"/>
      <c r="R338" s="413"/>
      <c r="S338" s="413"/>
      <c r="T338" s="413"/>
      <c r="U338" s="413"/>
      <c r="V338" s="413"/>
      <c r="W338" s="413"/>
      <c r="X338" s="413"/>
      <c r="Y338" s="413"/>
      <c r="Z338" s="413"/>
    </row>
    <row r="339">
      <c r="A339" s="452"/>
      <c r="B339" s="453"/>
      <c r="C339" s="454"/>
      <c r="D339" s="454"/>
      <c r="E339" s="439"/>
      <c r="F339" s="439"/>
      <c r="G339" s="454"/>
      <c r="H339" s="454"/>
      <c r="I339" s="456"/>
      <c r="J339" s="459"/>
      <c r="K339" s="458"/>
      <c r="L339" s="454"/>
      <c r="M339" s="453"/>
      <c r="N339" s="413"/>
      <c r="O339" s="413"/>
      <c r="P339" s="413"/>
      <c r="Q339" s="413"/>
      <c r="R339" s="413"/>
      <c r="S339" s="413"/>
      <c r="T339" s="413"/>
      <c r="U339" s="413"/>
      <c r="V339" s="413"/>
      <c r="W339" s="413"/>
      <c r="X339" s="413"/>
      <c r="Y339" s="413"/>
      <c r="Z339" s="413"/>
    </row>
    <row r="340">
      <c r="A340" s="452"/>
      <c r="B340" s="453"/>
      <c r="C340" s="454"/>
      <c r="D340" s="454"/>
      <c r="E340" s="439"/>
      <c r="F340" s="439"/>
      <c r="G340" s="454"/>
      <c r="H340" s="454"/>
      <c r="I340" s="456"/>
      <c r="J340" s="459"/>
      <c r="K340" s="458"/>
      <c r="L340" s="454"/>
      <c r="M340" s="453"/>
      <c r="N340" s="413"/>
      <c r="O340" s="413"/>
      <c r="P340" s="413"/>
      <c r="Q340" s="413"/>
      <c r="R340" s="413"/>
      <c r="S340" s="413"/>
      <c r="T340" s="413"/>
      <c r="U340" s="413"/>
      <c r="V340" s="413"/>
      <c r="W340" s="413"/>
      <c r="X340" s="413"/>
      <c r="Y340" s="413"/>
      <c r="Z340" s="413"/>
    </row>
    <row r="341">
      <c r="A341" s="452"/>
      <c r="B341" s="453"/>
      <c r="C341" s="454"/>
      <c r="D341" s="454"/>
      <c r="E341" s="439"/>
      <c r="F341" s="439"/>
      <c r="G341" s="454"/>
      <c r="H341" s="454"/>
      <c r="I341" s="456"/>
      <c r="J341" s="459"/>
      <c r="K341" s="458"/>
      <c r="L341" s="454"/>
      <c r="M341" s="453"/>
      <c r="N341" s="413"/>
      <c r="O341" s="413"/>
      <c r="P341" s="413"/>
      <c r="Q341" s="413"/>
      <c r="R341" s="413"/>
      <c r="S341" s="413"/>
      <c r="T341" s="413"/>
      <c r="U341" s="413"/>
      <c r="V341" s="413"/>
      <c r="W341" s="413"/>
      <c r="X341" s="413"/>
      <c r="Y341" s="413"/>
      <c r="Z341" s="413"/>
    </row>
    <row r="342">
      <c r="A342" s="452"/>
      <c r="B342" s="453"/>
      <c r="C342" s="454"/>
      <c r="D342" s="454"/>
      <c r="E342" s="439"/>
      <c r="F342" s="439"/>
      <c r="G342" s="454"/>
      <c r="H342" s="454"/>
      <c r="I342" s="456"/>
      <c r="J342" s="459"/>
      <c r="K342" s="458"/>
      <c r="L342" s="454"/>
      <c r="M342" s="453"/>
      <c r="N342" s="413"/>
      <c r="O342" s="413"/>
      <c r="P342" s="413"/>
      <c r="Q342" s="413"/>
      <c r="R342" s="413"/>
      <c r="S342" s="413"/>
      <c r="T342" s="413"/>
      <c r="U342" s="413"/>
      <c r="V342" s="413"/>
      <c r="W342" s="413"/>
      <c r="X342" s="413"/>
      <c r="Y342" s="413"/>
      <c r="Z342" s="413"/>
    </row>
    <row r="343">
      <c r="A343" s="452"/>
      <c r="B343" s="453"/>
      <c r="C343" s="454"/>
      <c r="D343" s="454"/>
      <c r="E343" s="439"/>
      <c r="F343" s="439"/>
      <c r="G343" s="454"/>
      <c r="H343" s="454"/>
      <c r="I343" s="456"/>
      <c r="J343" s="459"/>
      <c r="K343" s="458"/>
      <c r="L343" s="454"/>
      <c r="M343" s="453"/>
      <c r="N343" s="413"/>
      <c r="O343" s="413"/>
      <c r="P343" s="413"/>
      <c r="Q343" s="413"/>
      <c r="R343" s="413"/>
      <c r="S343" s="413"/>
      <c r="T343" s="413"/>
      <c r="U343" s="413"/>
      <c r="V343" s="413"/>
      <c r="W343" s="413"/>
      <c r="X343" s="413"/>
      <c r="Y343" s="413"/>
      <c r="Z343" s="413"/>
    </row>
    <row r="344">
      <c r="A344" s="452"/>
      <c r="B344" s="453"/>
      <c r="C344" s="454"/>
      <c r="D344" s="454"/>
      <c r="E344" s="439"/>
      <c r="F344" s="439"/>
      <c r="G344" s="454"/>
      <c r="H344" s="454"/>
      <c r="I344" s="456"/>
      <c r="J344" s="459"/>
      <c r="K344" s="458"/>
      <c r="L344" s="454"/>
      <c r="M344" s="453"/>
      <c r="N344" s="413"/>
      <c r="O344" s="413"/>
      <c r="P344" s="413"/>
      <c r="Q344" s="413"/>
      <c r="R344" s="413"/>
      <c r="S344" s="413"/>
      <c r="T344" s="413"/>
      <c r="U344" s="413"/>
      <c r="V344" s="413"/>
      <c r="W344" s="413"/>
      <c r="X344" s="413"/>
      <c r="Y344" s="413"/>
      <c r="Z344" s="413"/>
    </row>
    <row r="345">
      <c r="A345" s="452"/>
      <c r="B345" s="453"/>
      <c r="C345" s="454"/>
      <c r="D345" s="454"/>
      <c r="E345" s="439"/>
      <c r="F345" s="439"/>
      <c r="G345" s="454"/>
      <c r="H345" s="454"/>
      <c r="I345" s="456"/>
      <c r="J345" s="459"/>
      <c r="K345" s="458"/>
      <c r="L345" s="454"/>
      <c r="M345" s="453"/>
      <c r="N345" s="413"/>
      <c r="O345" s="413"/>
      <c r="P345" s="413"/>
      <c r="Q345" s="413"/>
      <c r="R345" s="413"/>
      <c r="S345" s="413"/>
      <c r="T345" s="413"/>
      <c r="U345" s="413"/>
      <c r="V345" s="413"/>
      <c r="W345" s="413"/>
      <c r="X345" s="413"/>
      <c r="Y345" s="413"/>
      <c r="Z345" s="413"/>
    </row>
    <row r="346">
      <c r="A346" s="452"/>
      <c r="B346" s="453"/>
      <c r="C346" s="454"/>
      <c r="D346" s="454"/>
      <c r="E346" s="439"/>
      <c r="F346" s="439"/>
      <c r="G346" s="454"/>
      <c r="H346" s="454"/>
      <c r="I346" s="456"/>
      <c r="J346" s="459"/>
      <c r="K346" s="458"/>
      <c r="L346" s="454"/>
      <c r="M346" s="453"/>
      <c r="N346" s="413"/>
      <c r="O346" s="413"/>
      <c r="P346" s="413"/>
      <c r="Q346" s="413"/>
      <c r="R346" s="413"/>
      <c r="S346" s="413"/>
      <c r="T346" s="413"/>
      <c r="U346" s="413"/>
      <c r="V346" s="413"/>
      <c r="W346" s="413"/>
      <c r="X346" s="413"/>
      <c r="Y346" s="413"/>
      <c r="Z346" s="413"/>
    </row>
    <row r="347">
      <c r="A347" s="452"/>
      <c r="B347" s="453"/>
      <c r="C347" s="454"/>
      <c r="D347" s="454"/>
      <c r="E347" s="439"/>
      <c r="F347" s="439"/>
      <c r="G347" s="454"/>
      <c r="H347" s="454"/>
      <c r="I347" s="456"/>
      <c r="J347" s="459"/>
      <c r="K347" s="458"/>
      <c r="L347" s="454"/>
      <c r="M347" s="453"/>
      <c r="N347" s="413"/>
      <c r="O347" s="413"/>
      <c r="P347" s="413"/>
      <c r="Q347" s="413"/>
      <c r="R347" s="413"/>
      <c r="S347" s="413"/>
      <c r="T347" s="413"/>
      <c r="U347" s="413"/>
      <c r="V347" s="413"/>
      <c r="W347" s="413"/>
      <c r="X347" s="413"/>
      <c r="Y347" s="413"/>
      <c r="Z347" s="413"/>
    </row>
    <row r="348">
      <c r="A348" s="452"/>
      <c r="B348" s="453"/>
      <c r="C348" s="454"/>
      <c r="D348" s="454"/>
      <c r="E348" s="439"/>
      <c r="F348" s="439"/>
      <c r="G348" s="454"/>
      <c r="H348" s="454"/>
      <c r="I348" s="456"/>
      <c r="J348" s="459"/>
      <c r="K348" s="458"/>
      <c r="L348" s="454"/>
      <c r="M348" s="453"/>
      <c r="N348" s="413"/>
      <c r="O348" s="413"/>
      <c r="P348" s="413"/>
      <c r="Q348" s="413"/>
      <c r="R348" s="413"/>
      <c r="S348" s="413"/>
      <c r="T348" s="413"/>
      <c r="U348" s="413"/>
      <c r="V348" s="413"/>
      <c r="W348" s="413"/>
      <c r="X348" s="413"/>
      <c r="Y348" s="413"/>
      <c r="Z348" s="413"/>
    </row>
    <row r="349">
      <c r="A349" s="452"/>
      <c r="B349" s="453"/>
      <c r="C349" s="454"/>
      <c r="D349" s="454"/>
      <c r="E349" s="439"/>
      <c r="F349" s="439"/>
      <c r="G349" s="454"/>
      <c r="H349" s="454"/>
      <c r="I349" s="456"/>
      <c r="J349" s="459"/>
      <c r="K349" s="458"/>
      <c r="L349" s="454"/>
      <c r="M349" s="453"/>
      <c r="N349" s="413"/>
      <c r="O349" s="413"/>
      <c r="P349" s="413"/>
      <c r="Q349" s="413"/>
      <c r="R349" s="413"/>
      <c r="S349" s="413"/>
      <c r="T349" s="413"/>
      <c r="U349" s="413"/>
      <c r="V349" s="413"/>
      <c r="W349" s="413"/>
      <c r="X349" s="413"/>
      <c r="Y349" s="413"/>
      <c r="Z349" s="413"/>
    </row>
    <row r="350">
      <c r="A350" s="452"/>
      <c r="B350" s="453"/>
      <c r="C350" s="454"/>
      <c r="D350" s="454"/>
      <c r="E350" s="439"/>
      <c r="F350" s="439"/>
      <c r="G350" s="454"/>
      <c r="H350" s="454"/>
      <c r="I350" s="456"/>
      <c r="J350" s="459"/>
      <c r="K350" s="458"/>
      <c r="L350" s="454"/>
      <c r="M350" s="453"/>
      <c r="N350" s="413"/>
      <c r="O350" s="413"/>
      <c r="P350" s="413"/>
      <c r="Q350" s="413"/>
      <c r="R350" s="413"/>
      <c r="S350" s="413"/>
      <c r="T350" s="413"/>
      <c r="U350" s="413"/>
      <c r="V350" s="413"/>
      <c r="W350" s="413"/>
      <c r="X350" s="413"/>
      <c r="Y350" s="413"/>
      <c r="Z350" s="413"/>
    </row>
    <row r="351">
      <c r="A351" s="452"/>
      <c r="B351" s="453"/>
      <c r="C351" s="454"/>
      <c r="D351" s="454"/>
      <c r="E351" s="439"/>
      <c r="F351" s="439"/>
      <c r="G351" s="454"/>
      <c r="H351" s="454"/>
      <c r="I351" s="456"/>
      <c r="J351" s="459"/>
      <c r="K351" s="458"/>
      <c r="L351" s="454"/>
      <c r="M351" s="453"/>
      <c r="N351" s="413"/>
      <c r="O351" s="413"/>
      <c r="P351" s="413"/>
      <c r="Q351" s="413"/>
      <c r="R351" s="413"/>
      <c r="S351" s="413"/>
      <c r="T351" s="413"/>
      <c r="U351" s="413"/>
      <c r="V351" s="413"/>
      <c r="W351" s="413"/>
      <c r="X351" s="413"/>
      <c r="Y351" s="413"/>
      <c r="Z351" s="413"/>
    </row>
    <row r="352">
      <c r="A352" s="452"/>
      <c r="B352" s="453"/>
      <c r="C352" s="454"/>
      <c r="D352" s="454"/>
      <c r="E352" s="439"/>
      <c r="F352" s="439"/>
      <c r="G352" s="454"/>
      <c r="H352" s="454"/>
      <c r="I352" s="456"/>
      <c r="J352" s="459"/>
      <c r="K352" s="458"/>
      <c r="L352" s="454"/>
      <c r="M352" s="453"/>
      <c r="N352" s="413"/>
      <c r="O352" s="413"/>
      <c r="P352" s="413"/>
      <c r="Q352" s="413"/>
      <c r="R352" s="413"/>
      <c r="S352" s="413"/>
      <c r="T352" s="413"/>
      <c r="U352" s="413"/>
      <c r="V352" s="413"/>
      <c r="W352" s="413"/>
      <c r="X352" s="413"/>
      <c r="Y352" s="413"/>
      <c r="Z352" s="413"/>
    </row>
    <row r="353">
      <c r="A353" s="452"/>
      <c r="B353" s="453"/>
      <c r="C353" s="454"/>
      <c r="D353" s="454"/>
      <c r="E353" s="439"/>
      <c r="F353" s="439"/>
      <c r="G353" s="454"/>
      <c r="H353" s="454"/>
      <c r="I353" s="456"/>
      <c r="J353" s="459"/>
      <c r="K353" s="458"/>
      <c r="L353" s="454"/>
      <c r="M353" s="453"/>
      <c r="N353" s="413"/>
      <c r="O353" s="413"/>
      <c r="P353" s="413"/>
      <c r="Q353" s="413"/>
      <c r="R353" s="413"/>
      <c r="S353" s="413"/>
      <c r="T353" s="413"/>
      <c r="U353" s="413"/>
      <c r="V353" s="413"/>
      <c r="W353" s="413"/>
      <c r="X353" s="413"/>
      <c r="Y353" s="413"/>
      <c r="Z353" s="413"/>
    </row>
    <row r="354">
      <c r="A354" s="452"/>
      <c r="B354" s="453"/>
      <c r="C354" s="454"/>
      <c r="D354" s="454"/>
      <c r="E354" s="439"/>
      <c r="F354" s="439"/>
      <c r="G354" s="454"/>
      <c r="H354" s="454"/>
      <c r="I354" s="456"/>
      <c r="J354" s="459"/>
      <c r="K354" s="458"/>
      <c r="L354" s="454"/>
      <c r="M354" s="453"/>
      <c r="N354" s="413"/>
      <c r="O354" s="413"/>
      <c r="P354" s="413"/>
      <c r="Q354" s="413"/>
      <c r="R354" s="413"/>
      <c r="S354" s="413"/>
      <c r="T354" s="413"/>
      <c r="U354" s="413"/>
      <c r="V354" s="413"/>
      <c r="W354" s="413"/>
      <c r="X354" s="413"/>
      <c r="Y354" s="413"/>
      <c r="Z354" s="413"/>
    </row>
    <row r="355">
      <c r="A355" s="452"/>
      <c r="B355" s="453"/>
      <c r="C355" s="454"/>
      <c r="D355" s="454"/>
      <c r="E355" s="439"/>
      <c r="F355" s="439"/>
      <c r="G355" s="454"/>
      <c r="H355" s="454"/>
      <c r="I355" s="456"/>
      <c r="J355" s="459"/>
      <c r="K355" s="458"/>
      <c r="L355" s="454"/>
      <c r="M355" s="453"/>
      <c r="N355" s="413"/>
      <c r="O355" s="413"/>
      <c r="P355" s="413"/>
      <c r="Q355" s="413"/>
      <c r="R355" s="413"/>
      <c r="S355" s="413"/>
      <c r="T355" s="413"/>
      <c r="U355" s="413"/>
      <c r="V355" s="413"/>
      <c r="W355" s="413"/>
      <c r="X355" s="413"/>
      <c r="Y355" s="413"/>
      <c r="Z355" s="413"/>
    </row>
    <row r="356">
      <c r="A356" s="452"/>
      <c r="B356" s="453"/>
      <c r="C356" s="454"/>
      <c r="D356" s="454"/>
      <c r="E356" s="439"/>
      <c r="F356" s="439"/>
      <c r="G356" s="454"/>
      <c r="H356" s="454"/>
      <c r="I356" s="456"/>
      <c r="J356" s="459"/>
      <c r="K356" s="458"/>
      <c r="L356" s="454"/>
      <c r="M356" s="453"/>
      <c r="N356" s="413"/>
      <c r="O356" s="413"/>
      <c r="P356" s="413"/>
      <c r="Q356" s="413"/>
      <c r="R356" s="413"/>
      <c r="S356" s="413"/>
      <c r="T356" s="413"/>
      <c r="U356" s="413"/>
      <c r="V356" s="413"/>
      <c r="W356" s="413"/>
      <c r="X356" s="413"/>
      <c r="Y356" s="413"/>
      <c r="Z356" s="413"/>
    </row>
    <row r="357">
      <c r="A357" s="452"/>
      <c r="B357" s="453"/>
      <c r="C357" s="454"/>
      <c r="D357" s="454"/>
      <c r="E357" s="439"/>
      <c r="F357" s="439"/>
      <c r="G357" s="454"/>
      <c r="H357" s="454"/>
      <c r="I357" s="456"/>
      <c r="J357" s="459"/>
      <c r="K357" s="458"/>
      <c r="L357" s="454"/>
      <c r="M357" s="453"/>
      <c r="N357" s="413"/>
      <c r="O357" s="413"/>
      <c r="P357" s="413"/>
      <c r="Q357" s="413"/>
      <c r="R357" s="413"/>
      <c r="S357" s="413"/>
      <c r="T357" s="413"/>
      <c r="U357" s="413"/>
      <c r="V357" s="413"/>
      <c r="W357" s="413"/>
      <c r="X357" s="413"/>
      <c r="Y357" s="413"/>
      <c r="Z357" s="413"/>
    </row>
    <row r="358">
      <c r="A358" s="452"/>
      <c r="B358" s="453"/>
      <c r="C358" s="454"/>
      <c r="D358" s="454"/>
      <c r="E358" s="439"/>
      <c r="F358" s="439"/>
      <c r="G358" s="454"/>
      <c r="H358" s="454"/>
      <c r="I358" s="456"/>
      <c r="J358" s="459"/>
      <c r="K358" s="458"/>
      <c r="L358" s="454"/>
      <c r="M358" s="453"/>
      <c r="N358" s="413"/>
      <c r="O358" s="413"/>
      <c r="P358" s="413"/>
      <c r="Q358" s="413"/>
      <c r="R358" s="413"/>
      <c r="S358" s="413"/>
      <c r="T358" s="413"/>
      <c r="U358" s="413"/>
      <c r="V358" s="413"/>
      <c r="W358" s="413"/>
      <c r="X358" s="413"/>
      <c r="Y358" s="413"/>
      <c r="Z358" s="413"/>
    </row>
    <row r="359">
      <c r="A359" s="452"/>
      <c r="B359" s="453"/>
      <c r="C359" s="454"/>
      <c r="D359" s="454"/>
      <c r="E359" s="439"/>
      <c r="F359" s="439"/>
      <c r="G359" s="454"/>
      <c r="H359" s="454"/>
      <c r="I359" s="456"/>
      <c r="J359" s="459"/>
      <c r="K359" s="458"/>
      <c r="L359" s="454"/>
      <c r="M359" s="453"/>
      <c r="N359" s="413"/>
      <c r="O359" s="413"/>
      <c r="P359" s="413"/>
      <c r="Q359" s="413"/>
      <c r="R359" s="413"/>
      <c r="S359" s="413"/>
      <c r="T359" s="413"/>
      <c r="U359" s="413"/>
      <c r="V359" s="413"/>
      <c r="W359" s="413"/>
      <c r="X359" s="413"/>
      <c r="Y359" s="413"/>
      <c r="Z359" s="413"/>
    </row>
    <row r="360">
      <c r="A360" s="452"/>
      <c r="B360" s="453"/>
      <c r="C360" s="454"/>
      <c r="D360" s="454"/>
      <c r="E360" s="439"/>
      <c r="F360" s="439"/>
      <c r="G360" s="454"/>
      <c r="H360" s="454"/>
      <c r="I360" s="456"/>
      <c r="J360" s="459"/>
      <c r="K360" s="458"/>
      <c r="L360" s="454"/>
      <c r="M360" s="453"/>
      <c r="N360" s="413"/>
      <c r="O360" s="413"/>
      <c r="P360" s="413"/>
      <c r="Q360" s="413"/>
      <c r="R360" s="413"/>
      <c r="S360" s="413"/>
      <c r="T360" s="413"/>
      <c r="U360" s="413"/>
      <c r="V360" s="413"/>
      <c r="W360" s="413"/>
      <c r="X360" s="413"/>
      <c r="Y360" s="413"/>
      <c r="Z360" s="413"/>
    </row>
    <row r="361">
      <c r="A361" s="452"/>
      <c r="B361" s="453"/>
      <c r="C361" s="454"/>
      <c r="D361" s="454"/>
      <c r="E361" s="439"/>
      <c r="F361" s="439"/>
      <c r="G361" s="454"/>
      <c r="H361" s="454"/>
      <c r="I361" s="456"/>
      <c r="J361" s="459"/>
      <c r="K361" s="458"/>
      <c r="L361" s="454"/>
      <c r="M361" s="453"/>
      <c r="N361" s="413"/>
      <c r="O361" s="413"/>
      <c r="P361" s="413"/>
      <c r="Q361" s="413"/>
      <c r="R361" s="413"/>
      <c r="S361" s="413"/>
      <c r="T361" s="413"/>
      <c r="U361" s="413"/>
      <c r="V361" s="413"/>
      <c r="W361" s="413"/>
      <c r="X361" s="413"/>
      <c r="Y361" s="413"/>
      <c r="Z361" s="413"/>
    </row>
    <row r="362">
      <c r="A362" s="452"/>
      <c r="B362" s="453"/>
      <c r="C362" s="454"/>
      <c r="D362" s="454"/>
      <c r="E362" s="439"/>
      <c r="F362" s="439"/>
      <c r="G362" s="454"/>
      <c r="H362" s="454"/>
      <c r="I362" s="456"/>
      <c r="J362" s="459"/>
      <c r="K362" s="458"/>
      <c r="L362" s="454"/>
      <c r="M362" s="453"/>
      <c r="N362" s="413"/>
      <c r="O362" s="413"/>
      <c r="P362" s="413"/>
      <c r="Q362" s="413"/>
      <c r="R362" s="413"/>
      <c r="S362" s="413"/>
      <c r="T362" s="413"/>
      <c r="U362" s="413"/>
      <c r="V362" s="413"/>
      <c r="W362" s="413"/>
      <c r="X362" s="413"/>
      <c r="Y362" s="413"/>
      <c r="Z362" s="413"/>
    </row>
    <row r="363">
      <c r="A363" s="452"/>
      <c r="B363" s="453"/>
      <c r="C363" s="454"/>
      <c r="D363" s="454"/>
      <c r="E363" s="439"/>
      <c r="F363" s="439"/>
      <c r="G363" s="454"/>
      <c r="H363" s="454"/>
      <c r="I363" s="456"/>
      <c r="J363" s="459"/>
      <c r="K363" s="458"/>
      <c r="L363" s="454"/>
      <c r="M363" s="453"/>
      <c r="N363" s="413"/>
      <c r="O363" s="413"/>
      <c r="P363" s="413"/>
      <c r="Q363" s="413"/>
      <c r="R363" s="413"/>
      <c r="S363" s="413"/>
      <c r="T363" s="413"/>
      <c r="U363" s="413"/>
      <c r="V363" s="413"/>
      <c r="W363" s="413"/>
      <c r="X363" s="413"/>
      <c r="Y363" s="413"/>
      <c r="Z363" s="413"/>
    </row>
    <row r="364">
      <c r="A364" s="452"/>
      <c r="B364" s="453"/>
      <c r="C364" s="454"/>
      <c r="D364" s="454"/>
      <c r="E364" s="439"/>
      <c r="F364" s="439"/>
      <c r="G364" s="454"/>
      <c r="H364" s="454"/>
      <c r="I364" s="456"/>
      <c r="J364" s="459"/>
      <c r="K364" s="458"/>
      <c r="L364" s="454"/>
      <c r="M364" s="453"/>
      <c r="N364" s="413"/>
      <c r="O364" s="413"/>
      <c r="P364" s="413"/>
      <c r="Q364" s="413"/>
      <c r="R364" s="413"/>
      <c r="S364" s="413"/>
      <c r="T364" s="413"/>
      <c r="U364" s="413"/>
      <c r="V364" s="413"/>
      <c r="W364" s="413"/>
      <c r="X364" s="413"/>
      <c r="Y364" s="413"/>
      <c r="Z364" s="413"/>
    </row>
    <row r="365">
      <c r="A365" s="452"/>
      <c r="B365" s="453"/>
      <c r="C365" s="454"/>
      <c r="D365" s="454"/>
      <c r="E365" s="439"/>
      <c r="F365" s="439"/>
      <c r="G365" s="454"/>
      <c r="H365" s="454"/>
      <c r="I365" s="456"/>
      <c r="J365" s="459"/>
      <c r="K365" s="458"/>
      <c r="L365" s="454"/>
      <c r="M365" s="453"/>
      <c r="N365" s="413"/>
      <c r="O365" s="413"/>
      <c r="P365" s="413"/>
      <c r="Q365" s="413"/>
      <c r="R365" s="413"/>
      <c r="S365" s="413"/>
      <c r="T365" s="413"/>
      <c r="U365" s="413"/>
      <c r="V365" s="413"/>
      <c r="W365" s="413"/>
      <c r="X365" s="413"/>
      <c r="Y365" s="413"/>
      <c r="Z365" s="413"/>
    </row>
    <row r="366">
      <c r="A366" s="452"/>
      <c r="B366" s="453"/>
      <c r="C366" s="454"/>
      <c r="D366" s="454"/>
      <c r="E366" s="439"/>
      <c r="F366" s="439"/>
      <c r="G366" s="454"/>
      <c r="H366" s="454"/>
      <c r="I366" s="456"/>
      <c r="J366" s="459"/>
      <c r="K366" s="458"/>
      <c r="L366" s="454"/>
      <c r="M366" s="453"/>
      <c r="N366" s="413"/>
      <c r="O366" s="413"/>
      <c r="P366" s="413"/>
      <c r="Q366" s="413"/>
      <c r="R366" s="413"/>
      <c r="S366" s="413"/>
      <c r="T366" s="413"/>
      <c r="U366" s="413"/>
      <c r="V366" s="413"/>
      <c r="W366" s="413"/>
      <c r="X366" s="413"/>
      <c r="Y366" s="413"/>
      <c r="Z366" s="413"/>
    </row>
    <row r="367">
      <c r="A367" s="452"/>
      <c r="B367" s="453"/>
      <c r="C367" s="454"/>
      <c r="D367" s="454"/>
      <c r="E367" s="439"/>
      <c r="F367" s="439"/>
      <c r="G367" s="454"/>
      <c r="H367" s="454"/>
      <c r="I367" s="456"/>
      <c r="J367" s="459"/>
      <c r="K367" s="458"/>
      <c r="L367" s="454"/>
      <c r="M367" s="453"/>
      <c r="N367" s="413"/>
      <c r="O367" s="413"/>
      <c r="P367" s="413"/>
      <c r="Q367" s="413"/>
      <c r="R367" s="413"/>
      <c r="S367" s="413"/>
      <c r="T367" s="413"/>
      <c r="U367" s="413"/>
      <c r="V367" s="413"/>
      <c r="W367" s="413"/>
      <c r="X367" s="413"/>
      <c r="Y367" s="413"/>
      <c r="Z367" s="413"/>
    </row>
    <row r="368">
      <c r="A368" s="452"/>
      <c r="B368" s="453"/>
      <c r="C368" s="454"/>
      <c r="D368" s="454"/>
      <c r="E368" s="439"/>
      <c r="F368" s="439"/>
      <c r="G368" s="454"/>
      <c r="H368" s="454"/>
      <c r="I368" s="456"/>
      <c r="J368" s="459"/>
      <c r="K368" s="458"/>
      <c r="L368" s="454"/>
      <c r="M368" s="453"/>
      <c r="N368" s="413"/>
      <c r="O368" s="413"/>
      <c r="P368" s="413"/>
      <c r="Q368" s="413"/>
      <c r="R368" s="413"/>
      <c r="S368" s="413"/>
      <c r="T368" s="413"/>
      <c r="U368" s="413"/>
      <c r="V368" s="413"/>
      <c r="W368" s="413"/>
      <c r="X368" s="413"/>
      <c r="Y368" s="413"/>
      <c r="Z368" s="413"/>
    </row>
    <row r="369">
      <c r="A369" s="452"/>
      <c r="B369" s="453"/>
      <c r="C369" s="454"/>
      <c r="D369" s="454"/>
      <c r="E369" s="439"/>
      <c r="F369" s="439"/>
      <c r="G369" s="454"/>
      <c r="H369" s="454"/>
      <c r="I369" s="456"/>
      <c r="J369" s="459"/>
      <c r="K369" s="458"/>
      <c r="L369" s="454"/>
      <c r="M369" s="453"/>
      <c r="N369" s="413"/>
      <c r="O369" s="413"/>
      <c r="P369" s="413"/>
      <c r="Q369" s="413"/>
      <c r="R369" s="413"/>
      <c r="S369" s="413"/>
      <c r="T369" s="413"/>
      <c r="U369" s="413"/>
      <c r="V369" s="413"/>
      <c r="W369" s="413"/>
      <c r="X369" s="413"/>
      <c r="Y369" s="413"/>
      <c r="Z369" s="413"/>
    </row>
    <row r="370">
      <c r="A370" s="452"/>
      <c r="B370" s="453"/>
      <c r="C370" s="454"/>
      <c r="D370" s="454"/>
      <c r="E370" s="439"/>
      <c r="F370" s="439"/>
      <c r="G370" s="454"/>
      <c r="H370" s="454"/>
      <c r="I370" s="456"/>
      <c r="J370" s="459"/>
      <c r="K370" s="458"/>
      <c r="L370" s="454"/>
      <c r="M370" s="453"/>
      <c r="N370" s="413"/>
      <c r="O370" s="413"/>
      <c r="P370" s="413"/>
      <c r="Q370" s="413"/>
      <c r="R370" s="413"/>
      <c r="S370" s="413"/>
      <c r="T370" s="413"/>
      <c r="U370" s="413"/>
      <c r="V370" s="413"/>
      <c r="W370" s="413"/>
      <c r="X370" s="413"/>
      <c r="Y370" s="413"/>
      <c r="Z370" s="413"/>
    </row>
    <row r="371">
      <c r="A371" s="452"/>
      <c r="B371" s="453"/>
      <c r="C371" s="454"/>
      <c r="D371" s="454"/>
      <c r="E371" s="439"/>
      <c r="F371" s="439"/>
      <c r="G371" s="454"/>
      <c r="H371" s="454"/>
      <c r="I371" s="456"/>
      <c r="J371" s="459"/>
      <c r="K371" s="458"/>
      <c r="L371" s="454"/>
      <c r="M371" s="453"/>
      <c r="N371" s="413"/>
      <c r="O371" s="413"/>
      <c r="P371" s="413"/>
      <c r="Q371" s="413"/>
      <c r="R371" s="413"/>
      <c r="S371" s="413"/>
      <c r="T371" s="413"/>
      <c r="U371" s="413"/>
      <c r="V371" s="413"/>
      <c r="W371" s="413"/>
      <c r="X371" s="413"/>
      <c r="Y371" s="413"/>
      <c r="Z371" s="413"/>
    </row>
    <row r="372">
      <c r="A372" s="452"/>
      <c r="B372" s="453"/>
      <c r="C372" s="454"/>
      <c r="D372" s="454"/>
      <c r="E372" s="439"/>
      <c r="F372" s="439"/>
      <c r="G372" s="454"/>
      <c r="H372" s="454"/>
      <c r="I372" s="456"/>
      <c r="J372" s="459"/>
      <c r="K372" s="458"/>
      <c r="L372" s="454"/>
      <c r="M372" s="453"/>
      <c r="N372" s="413"/>
      <c r="O372" s="413"/>
      <c r="P372" s="413"/>
      <c r="Q372" s="413"/>
      <c r="R372" s="413"/>
      <c r="S372" s="413"/>
      <c r="T372" s="413"/>
      <c r="U372" s="413"/>
      <c r="V372" s="413"/>
      <c r="W372" s="413"/>
      <c r="X372" s="413"/>
      <c r="Y372" s="413"/>
      <c r="Z372" s="413"/>
    </row>
    <row r="373">
      <c r="A373" s="452"/>
      <c r="B373" s="453"/>
      <c r="C373" s="454"/>
      <c r="D373" s="454"/>
      <c r="E373" s="439"/>
      <c r="F373" s="439"/>
      <c r="G373" s="454"/>
      <c r="H373" s="454"/>
      <c r="I373" s="456"/>
      <c r="J373" s="459"/>
      <c r="K373" s="458"/>
      <c r="L373" s="454"/>
      <c r="M373" s="453"/>
      <c r="N373" s="413"/>
      <c r="O373" s="413"/>
      <c r="P373" s="413"/>
      <c r="Q373" s="413"/>
      <c r="R373" s="413"/>
      <c r="S373" s="413"/>
      <c r="T373" s="413"/>
      <c r="U373" s="413"/>
      <c r="V373" s="413"/>
      <c r="W373" s="413"/>
      <c r="X373" s="413"/>
      <c r="Y373" s="413"/>
      <c r="Z373" s="413"/>
    </row>
    <row r="374">
      <c r="A374" s="452"/>
      <c r="B374" s="453"/>
      <c r="C374" s="454"/>
      <c r="D374" s="454"/>
      <c r="E374" s="439"/>
      <c r="F374" s="439"/>
      <c r="G374" s="454"/>
      <c r="H374" s="454"/>
      <c r="I374" s="456"/>
      <c r="J374" s="459"/>
      <c r="K374" s="458"/>
      <c r="L374" s="454"/>
      <c r="M374" s="453"/>
      <c r="N374" s="413"/>
      <c r="O374" s="413"/>
      <c r="P374" s="413"/>
      <c r="Q374" s="413"/>
      <c r="R374" s="413"/>
      <c r="S374" s="413"/>
      <c r="T374" s="413"/>
      <c r="U374" s="413"/>
      <c r="V374" s="413"/>
      <c r="W374" s="413"/>
      <c r="X374" s="413"/>
      <c r="Y374" s="413"/>
      <c r="Z374" s="413"/>
    </row>
    <row r="375">
      <c r="A375" s="452"/>
      <c r="B375" s="453"/>
      <c r="C375" s="454"/>
      <c r="D375" s="454"/>
      <c r="E375" s="439"/>
      <c r="F375" s="439"/>
      <c r="G375" s="454"/>
      <c r="H375" s="454"/>
      <c r="I375" s="456"/>
      <c r="J375" s="459"/>
      <c r="K375" s="458"/>
      <c r="L375" s="454"/>
      <c r="M375" s="453"/>
      <c r="N375" s="413"/>
      <c r="O375" s="413"/>
      <c r="P375" s="413"/>
      <c r="Q375" s="413"/>
      <c r="R375" s="413"/>
      <c r="S375" s="413"/>
      <c r="T375" s="413"/>
      <c r="U375" s="413"/>
      <c r="V375" s="413"/>
      <c r="W375" s="413"/>
      <c r="X375" s="413"/>
      <c r="Y375" s="413"/>
      <c r="Z375" s="413"/>
    </row>
    <row r="376">
      <c r="A376" s="452"/>
      <c r="B376" s="453"/>
      <c r="C376" s="454"/>
      <c r="D376" s="454"/>
      <c r="E376" s="439"/>
      <c r="F376" s="439"/>
      <c r="G376" s="454"/>
      <c r="H376" s="454"/>
      <c r="I376" s="456"/>
      <c r="J376" s="459"/>
      <c r="K376" s="458"/>
      <c r="L376" s="454"/>
      <c r="M376" s="453"/>
      <c r="N376" s="413"/>
      <c r="O376" s="413"/>
      <c r="P376" s="413"/>
      <c r="Q376" s="413"/>
      <c r="R376" s="413"/>
      <c r="S376" s="413"/>
      <c r="T376" s="413"/>
      <c r="U376" s="413"/>
      <c r="V376" s="413"/>
      <c r="W376" s="413"/>
      <c r="X376" s="413"/>
      <c r="Y376" s="413"/>
      <c r="Z376" s="413"/>
    </row>
    <row r="377">
      <c r="A377" s="452"/>
      <c r="B377" s="453"/>
      <c r="C377" s="454"/>
      <c r="D377" s="454"/>
      <c r="E377" s="439"/>
      <c r="F377" s="439"/>
      <c r="G377" s="454"/>
      <c r="H377" s="454"/>
      <c r="I377" s="456"/>
      <c r="J377" s="459"/>
      <c r="K377" s="458"/>
      <c r="L377" s="454"/>
      <c r="M377" s="453"/>
      <c r="N377" s="413"/>
      <c r="O377" s="413"/>
      <c r="P377" s="413"/>
      <c r="Q377" s="413"/>
      <c r="R377" s="413"/>
      <c r="S377" s="413"/>
      <c r="T377" s="413"/>
      <c r="U377" s="413"/>
      <c r="V377" s="413"/>
      <c r="W377" s="413"/>
      <c r="X377" s="413"/>
      <c r="Y377" s="413"/>
      <c r="Z377" s="413"/>
    </row>
    <row r="378">
      <c r="A378" s="452"/>
      <c r="B378" s="453"/>
      <c r="C378" s="454"/>
      <c r="D378" s="454"/>
      <c r="E378" s="439"/>
      <c r="F378" s="439"/>
      <c r="G378" s="454"/>
      <c r="H378" s="454"/>
      <c r="I378" s="456"/>
      <c r="J378" s="459"/>
      <c r="K378" s="458"/>
      <c r="L378" s="454"/>
      <c r="M378" s="453"/>
      <c r="N378" s="413"/>
      <c r="O378" s="413"/>
      <c r="P378" s="413"/>
      <c r="Q378" s="413"/>
      <c r="R378" s="413"/>
      <c r="S378" s="413"/>
      <c r="T378" s="413"/>
      <c r="U378" s="413"/>
      <c r="V378" s="413"/>
      <c r="W378" s="413"/>
      <c r="X378" s="413"/>
      <c r="Y378" s="413"/>
      <c r="Z378" s="413"/>
    </row>
    <row r="379">
      <c r="A379" s="452"/>
      <c r="B379" s="453"/>
      <c r="C379" s="454"/>
      <c r="D379" s="454"/>
      <c r="E379" s="439"/>
      <c r="F379" s="439"/>
      <c r="G379" s="454"/>
      <c r="H379" s="454"/>
      <c r="I379" s="456"/>
      <c r="J379" s="459"/>
      <c r="K379" s="458"/>
      <c r="L379" s="454"/>
      <c r="M379" s="453"/>
      <c r="N379" s="413"/>
      <c r="O379" s="413"/>
      <c r="P379" s="413"/>
      <c r="Q379" s="413"/>
      <c r="R379" s="413"/>
      <c r="S379" s="413"/>
      <c r="T379" s="413"/>
      <c r="U379" s="413"/>
      <c r="V379" s="413"/>
      <c r="W379" s="413"/>
      <c r="X379" s="413"/>
      <c r="Y379" s="413"/>
      <c r="Z379" s="413"/>
    </row>
    <row r="380">
      <c r="A380" s="452"/>
      <c r="B380" s="453"/>
      <c r="C380" s="454"/>
      <c r="D380" s="454"/>
      <c r="E380" s="439"/>
      <c r="F380" s="439"/>
      <c r="G380" s="454"/>
      <c r="H380" s="454"/>
      <c r="I380" s="456"/>
      <c r="J380" s="459"/>
      <c r="K380" s="458"/>
      <c r="L380" s="454"/>
      <c r="M380" s="453"/>
      <c r="N380" s="413"/>
      <c r="O380" s="413"/>
      <c r="P380" s="413"/>
      <c r="Q380" s="413"/>
      <c r="R380" s="413"/>
      <c r="S380" s="413"/>
      <c r="T380" s="413"/>
      <c r="U380" s="413"/>
      <c r="V380" s="413"/>
      <c r="W380" s="413"/>
      <c r="X380" s="413"/>
      <c r="Y380" s="413"/>
      <c r="Z380" s="413"/>
    </row>
    <row r="381">
      <c r="A381" s="452"/>
      <c r="B381" s="453"/>
      <c r="C381" s="454"/>
      <c r="D381" s="454"/>
      <c r="E381" s="439"/>
      <c r="F381" s="439"/>
      <c r="G381" s="454"/>
      <c r="H381" s="454"/>
      <c r="I381" s="456"/>
      <c r="J381" s="459"/>
      <c r="K381" s="458"/>
      <c r="L381" s="454"/>
      <c r="M381" s="453"/>
      <c r="N381" s="413"/>
      <c r="O381" s="413"/>
      <c r="P381" s="413"/>
      <c r="Q381" s="413"/>
      <c r="R381" s="413"/>
      <c r="S381" s="413"/>
      <c r="T381" s="413"/>
      <c r="U381" s="413"/>
      <c r="V381" s="413"/>
      <c r="W381" s="413"/>
      <c r="X381" s="413"/>
      <c r="Y381" s="413"/>
      <c r="Z381" s="413"/>
    </row>
    <row r="382">
      <c r="A382" s="452"/>
      <c r="B382" s="453"/>
      <c r="C382" s="454"/>
      <c r="D382" s="454"/>
      <c r="E382" s="439"/>
      <c r="F382" s="439"/>
      <c r="G382" s="454"/>
      <c r="H382" s="454"/>
      <c r="I382" s="456"/>
      <c r="J382" s="459"/>
      <c r="K382" s="458"/>
      <c r="L382" s="454"/>
      <c r="M382" s="453"/>
      <c r="N382" s="413"/>
      <c r="O382" s="413"/>
      <c r="P382" s="413"/>
      <c r="Q382" s="413"/>
      <c r="R382" s="413"/>
      <c r="S382" s="413"/>
      <c r="T382" s="413"/>
      <c r="U382" s="413"/>
      <c r="V382" s="413"/>
      <c r="W382" s="413"/>
      <c r="X382" s="413"/>
      <c r="Y382" s="413"/>
      <c r="Z382" s="413"/>
    </row>
    <row r="383">
      <c r="A383" s="452"/>
      <c r="B383" s="453"/>
      <c r="C383" s="454"/>
      <c r="D383" s="454"/>
      <c r="E383" s="439"/>
      <c r="F383" s="439"/>
      <c r="G383" s="454"/>
      <c r="H383" s="454"/>
      <c r="I383" s="456"/>
      <c r="J383" s="459"/>
      <c r="K383" s="458"/>
      <c r="L383" s="454"/>
      <c r="M383" s="453"/>
      <c r="N383" s="413"/>
      <c r="O383" s="413"/>
      <c r="P383" s="413"/>
      <c r="Q383" s="413"/>
      <c r="R383" s="413"/>
      <c r="S383" s="413"/>
      <c r="T383" s="413"/>
      <c r="U383" s="413"/>
      <c r="V383" s="413"/>
      <c r="W383" s="413"/>
      <c r="X383" s="413"/>
      <c r="Y383" s="413"/>
      <c r="Z383" s="413"/>
    </row>
    <row r="384">
      <c r="A384" s="452"/>
      <c r="B384" s="453"/>
      <c r="C384" s="454"/>
      <c r="D384" s="454"/>
      <c r="E384" s="439"/>
      <c r="F384" s="439"/>
      <c r="G384" s="454"/>
      <c r="H384" s="454"/>
      <c r="I384" s="456"/>
      <c r="J384" s="459"/>
      <c r="K384" s="458"/>
      <c r="L384" s="454"/>
      <c r="M384" s="453"/>
      <c r="N384" s="413"/>
      <c r="O384" s="413"/>
      <c r="P384" s="413"/>
      <c r="Q384" s="413"/>
      <c r="R384" s="413"/>
      <c r="S384" s="413"/>
      <c r="T384" s="413"/>
      <c r="U384" s="413"/>
      <c r="V384" s="413"/>
      <c r="W384" s="413"/>
      <c r="X384" s="413"/>
      <c r="Y384" s="413"/>
      <c r="Z384" s="413"/>
    </row>
    <row r="385">
      <c r="A385" s="452"/>
      <c r="B385" s="453"/>
      <c r="C385" s="454"/>
      <c r="D385" s="454"/>
      <c r="E385" s="439"/>
      <c r="F385" s="439"/>
      <c r="G385" s="454"/>
      <c r="H385" s="454"/>
      <c r="I385" s="456"/>
      <c r="J385" s="459"/>
      <c r="K385" s="458"/>
      <c r="L385" s="454"/>
      <c r="M385" s="453"/>
      <c r="N385" s="413"/>
      <c r="O385" s="413"/>
      <c r="P385" s="413"/>
      <c r="Q385" s="413"/>
      <c r="R385" s="413"/>
      <c r="S385" s="413"/>
      <c r="T385" s="413"/>
      <c r="U385" s="413"/>
      <c r="V385" s="413"/>
      <c r="W385" s="413"/>
      <c r="X385" s="413"/>
      <c r="Y385" s="413"/>
      <c r="Z385" s="413"/>
    </row>
    <row r="386">
      <c r="A386" s="452"/>
      <c r="B386" s="453"/>
      <c r="C386" s="454"/>
      <c r="D386" s="454"/>
      <c r="E386" s="439"/>
      <c r="F386" s="439"/>
      <c r="G386" s="454"/>
      <c r="H386" s="454"/>
      <c r="I386" s="456"/>
      <c r="J386" s="459"/>
      <c r="K386" s="458"/>
      <c r="L386" s="454"/>
      <c r="M386" s="453"/>
      <c r="N386" s="413"/>
      <c r="O386" s="413"/>
      <c r="P386" s="413"/>
      <c r="Q386" s="413"/>
      <c r="R386" s="413"/>
      <c r="S386" s="413"/>
      <c r="T386" s="413"/>
      <c r="U386" s="413"/>
      <c r="V386" s="413"/>
      <c r="W386" s="413"/>
      <c r="X386" s="413"/>
      <c r="Y386" s="413"/>
      <c r="Z386" s="413"/>
    </row>
    <row r="387">
      <c r="A387" s="452"/>
      <c r="B387" s="453"/>
      <c r="C387" s="454"/>
      <c r="D387" s="454"/>
      <c r="E387" s="439"/>
      <c r="F387" s="439"/>
      <c r="G387" s="454"/>
      <c r="H387" s="454"/>
      <c r="I387" s="456"/>
      <c r="J387" s="459"/>
      <c r="K387" s="458"/>
      <c r="L387" s="454"/>
      <c r="M387" s="453"/>
      <c r="N387" s="413"/>
      <c r="O387" s="413"/>
      <c r="P387" s="413"/>
      <c r="Q387" s="413"/>
      <c r="R387" s="413"/>
      <c r="S387" s="413"/>
      <c r="T387" s="413"/>
      <c r="U387" s="413"/>
      <c r="V387" s="413"/>
      <c r="W387" s="413"/>
      <c r="X387" s="413"/>
      <c r="Y387" s="413"/>
      <c r="Z387" s="413"/>
    </row>
    <row r="388">
      <c r="A388" s="452"/>
      <c r="B388" s="453"/>
      <c r="C388" s="454"/>
      <c r="D388" s="454"/>
      <c r="E388" s="439"/>
      <c r="F388" s="439"/>
      <c r="G388" s="454"/>
      <c r="H388" s="454"/>
      <c r="I388" s="456"/>
      <c r="J388" s="459"/>
      <c r="K388" s="458"/>
      <c r="L388" s="454"/>
      <c r="M388" s="453"/>
      <c r="N388" s="413"/>
      <c r="O388" s="413"/>
      <c r="P388" s="413"/>
      <c r="Q388" s="413"/>
      <c r="R388" s="413"/>
      <c r="S388" s="413"/>
      <c r="T388" s="413"/>
      <c r="U388" s="413"/>
      <c r="V388" s="413"/>
      <c r="W388" s="413"/>
      <c r="X388" s="413"/>
      <c r="Y388" s="413"/>
      <c r="Z388" s="413"/>
    </row>
    <row r="389">
      <c r="A389" s="452"/>
      <c r="B389" s="453"/>
      <c r="C389" s="454"/>
      <c r="D389" s="454"/>
      <c r="E389" s="439"/>
      <c r="F389" s="439"/>
      <c r="G389" s="454"/>
      <c r="H389" s="454"/>
      <c r="I389" s="456"/>
      <c r="J389" s="459"/>
      <c r="K389" s="458"/>
      <c r="L389" s="454"/>
      <c r="M389" s="453"/>
      <c r="N389" s="413"/>
      <c r="O389" s="413"/>
      <c r="P389" s="413"/>
      <c r="Q389" s="413"/>
      <c r="R389" s="413"/>
      <c r="S389" s="413"/>
      <c r="T389" s="413"/>
      <c r="U389" s="413"/>
      <c r="V389" s="413"/>
      <c r="W389" s="413"/>
      <c r="X389" s="413"/>
      <c r="Y389" s="413"/>
      <c r="Z389" s="413"/>
    </row>
    <row r="390">
      <c r="A390" s="452"/>
      <c r="B390" s="453"/>
      <c r="C390" s="454"/>
      <c r="D390" s="454"/>
      <c r="E390" s="439"/>
      <c r="F390" s="439"/>
      <c r="G390" s="454"/>
      <c r="H390" s="454"/>
      <c r="I390" s="456"/>
      <c r="J390" s="459"/>
      <c r="K390" s="458"/>
      <c r="L390" s="454"/>
      <c r="M390" s="453"/>
      <c r="N390" s="413"/>
      <c r="O390" s="413"/>
      <c r="P390" s="413"/>
      <c r="Q390" s="413"/>
      <c r="R390" s="413"/>
      <c r="S390" s="413"/>
      <c r="T390" s="413"/>
      <c r="U390" s="413"/>
      <c r="V390" s="413"/>
      <c r="W390" s="413"/>
      <c r="X390" s="413"/>
      <c r="Y390" s="413"/>
      <c r="Z390" s="413"/>
    </row>
    <row r="391">
      <c r="A391" s="452"/>
      <c r="B391" s="453"/>
      <c r="C391" s="454"/>
      <c r="D391" s="454"/>
      <c r="E391" s="439"/>
      <c r="F391" s="439"/>
      <c r="G391" s="454"/>
      <c r="H391" s="454"/>
      <c r="I391" s="456"/>
      <c r="J391" s="459"/>
      <c r="K391" s="458"/>
      <c r="L391" s="454"/>
      <c r="M391" s="453"/>
      <c r="N391" s="413"/>
      <c r="O391" s="413"/>
      <c r="P391" s="413"/>
      <c r="Q391" s="413"/>
      <c r="R391" s="413"/>
      <c r="S391" s="413"/>
      <c r="T391" s="413"/>
      <c r="U391" s="413"/>
      <c r="V391" s="413"/>
      <c r="W391" s="413"/>
      <c r="X391" s="413"/>
      <c r="Y391" s="413"/>
      <c r="Z391" s="413"/>
    </row>
    <row r="392">
      <c r="A392" s="452"/>
      <c r="B392" s="453"/>
      <c r="C392" s="454"/>
      <c r="D392" s="454"/>
      <c r="E392" s="439"/>
      <c r="F392" s="439"/>
      <c r="G392" s="454"/>
      <c r="H392" s="454"/>
      <c r="I392" s="456"/>
      <c r="J392" s="459"/>
      <c r="K392" s="458"/>
      <c r="L392" s="454"/>
      <c r="M392" s="453"/>
      <c r="N392" s="413"/>
      <c r="O392" s="413"/>
      <c r="P392" s="413"/>
      <c r="Q392" s="413"/>
      <c r="R392" s="413"/>
      <c r="S392" s="413"/>
      <c r="T392" s="413"/>
      <c r="U392" s="413"/>
      <c r="V392" s="413"/>
      <c r="W392" s="413"/>
      <c r="X392" s="413"/>
      <c r="Y392" s="413"/>
      <c r="Z392" s="413"/>
    </row>
    <row r="393">
      <c r="A393" s="452"/>
      <c r="B393" s="453"/>
      <c r="C393" s="454"/>
      <c r="D393" s="454"/>
      <c r="E393" s="439"/>
      <c r="F393" s="439"/>
      <c r="G393" s="454"/>
      <c r="H393" s="454"/>
      <c r="I393" s="456"/>
      <c r="J393" s="459"/>
      <c r="K393" s="458"/>
      <c r="L393" s="454"/>
      <c r="M393" s="453"/>
      <c r="N393" s="413"/>
      <c r="O393" s="413"/>
      <c r="P393" s="413"/>
      <c r="Q393" s="413"/>
      <c r="R393" s="413"/>
      <c r="S393" s="413"/>
      <c r="T393" s="413"/>
      <c r="U393" s="413"/>
      <c r="V393" s="413"/>
      <c r="W393" s="413"/>
      <c r="X393" s="413"/>
      <c r="Y393" s="413"/>
      <c r="Z393" s="413"/>
    </row>
    <row r="394">
      <c r="A394" s="452"/>
      <c r="B394" s="453"/>
      <c r="C394" s="454"/>
      <c r="D394" s="454"/>
      <c r="E394" s="439"/>
      <c r="F394" s="439"/>
      <c r="G394" s="454"/>
      <c r="H394" s="454"/>
      <c r="I394" s="456"/>
      <c r="J394" s="459"/>
      <c r="K394" s="458"/>
      <c r="L394" s="454"/>
      <c r="M394" s="453"/>
      <c r="N394" s="413"/>
      <c r="O394" s="413"/>
      <c r="P394" s="413"/>
      <c r="Q394" s="413"/>
      <c r="R394" s="413"/>
      <c r="S394" s="413"/>
      <c r="T394" s="413"/>
      <c r="U394" s="413"/>
      <c r="V394" s="413"/>
      <c r="W394" s="413"/>
      <c r="X394" s="413"/>
      <c r="Y394" s="413"/>
      <c r="Z394" s="413"/>
    </row>
    <row r="395">
      <c r="A395" s="452"/>
      <c r="B395" s="453"/>
      <c r="C395" s="454"/>
      <c r="D395" s="454"/>
      <c r="E395" s="439"/>
      <c r="F395" s="439"/>
      <c r="G395" s="454"/>
      <c r="H395" s="454"/>
      <c r="I395" s="456"/>
      <c r="J395" s="459"/>
      <c r="K395" s="458"/>
      <c r="L395" s="454"/>
      <c r="M395" s="453"/>
      <c r="N395" s="413"/>
      <c r="O395" s="413"/>
      <c r="P395" s="413"/>
      <c r="Q395" s="413"/>
      <c r="R395" s="413"/>
      <c r="S395" s="413"/>
      <c r="T395" s="413"/>
      <c r="U395" s="413"/>
      <c r="V395" s="413"/>
      <c r="W395" s="413"/>
      <c r="X395" s="413"/>
      <c r="Y395" s="413"/>
      <c r="Z395" s="413"/>
    </row>
    <row r="396">
      <c r="A396" s="452"/>
      <c r="B396" s="453"/>
      <c r="C396" s="454"/>
      <c r="D396" s="454"/>
      <c r="E396" s="439"/>
      <c r="F396" s="439"/>
      <c r="G396" s="454"/>
      <c r="H396" s="454"/>
      <c r="I396" s="456"/>
      <c r="J396" s="459"/>
      <c r="K396" s="458"/>
      <c r="L396" s="454"/>
      <c r="M396" s="453"/>
      <c r="N396" s="413"/>
      <c r="O396" s="413"/>
      <c r="P396" s="413"/>
      <c r="Q396" s="413"/>
      <c r="R396" s="413"/>
      <c r="S396" s="413"/>
      <c r="T396" s="413"/>
      <c r="U396" s="413"/>
      <c r="V396" s="413"/>
      <c r="W396" s="413"/>
      <c r="X396" s="413"/>
      <c r="Y396" s="413"/>
      <c r="Z396" s="413"/>
    </row>
    <row r="397">
      <c r="A397" s="452"/>
      <c r="B397" s="453"/>
      <c r="C397" s="454"/>
      <c r="D397" s="454"/>
      <c r="E397" s="439"/>
      <c r="F397" s="439"/>
      <c r="G397" s="454"/>
      <c r="H397" s="454"/>
      <c r="I397" s="456"/>
      <c r="J397" s="459"/>
      <c r="K397" s="458"/>
      <c r="L397" s="454"/>
      <c r="M397" s="453"/>
      <c r="N397" s="413"/>
      <c r="O397" s="413"/>
      <c r="P397" s="413"/>
      <c r="Q397" s="413"/>
      <c r="R397" s="413"/>
      <c r="S397" s="413"/>
      <c r="T397" s="413"/>
      <c r="U397" s="413"/>
      <c r="V397" s="413"/>
      <c r="W397" s="413"/>
      <c r="X397" s="413"/>
      <c r="Y397" s="413"/>
      <c r="Z397" s="413"/>
    </row>
    <row r="398">
      <c r="A398" s="452"/>
      <c r="B398" s="453"/>
      <c r="C398" s="454"/>
      <c r="D398" s="454"/>
      <c r="E398" s="439"/>
      <c r="F398" s="439"/>
      <c r="G398" s="454"/>
      <c r="H398" s="454"/>
      <c r="I398" s="456"/>
      <c r="J398" s="459"/>
      <c r="K398" s="458"/>
      <c r="L398" s="454"/>
      <c r="M398" s="453"/>
      <c r="N398" s="413"/>
      <c r="O398" s="413"/>
      <c r="P398" s="413"/>
      <c r="Q398" s="413"/>
      <c r="R398" s="413"/>
      <c r="S398" s="413"/>
      <c r="T398" s="413"/>
      <c r="U398" s="413"/>
      <c r="V398" s="413"/>
      <c r="W398" s="413"/>
      <c r="X398" s="413"/>
      <c r="Y398" s="413"/>
      <c r="Z398" s="413"/>
    </row>
    <row r="399">
      <c r="A399" s="452"/>
      <c r="B399" s="453"/>
      <c r="C399" s="454"/>
      <c r="D399" s="454"/>
      <c r="E399" s="439"/>
      <c r="F399" s="439"/>
      <c r="G399" s="454"/>
      <c r="H399" s="454"/>
      <c r="I399" s="456"/>
      <c r="J399" s="459"/>
      <c r="K399" s="458"/>
      <c r="L399" s="454"/>
      <c r="M399" s="453"/>
      <c r="N399" s="413"/>
      <c r="O399" s="413"/>
      <c r="P399" s="413"/>
      <c r="Q399" s="413"/>
      <c r="R399" s="413"/>
      <c r="S399" s="413"/>
      <c r="T399" s="413"/>
      <c r="U399" s="413"/>
      <c r="V399" s="413"/>
      <c r="W399" s="413"/>
      <c r="X399" s="413"/>
      <c r="Y399" s="413"/>
      <c r="Z399" s="413"/>
    </row>
    <row r="400">
      <c r="A400" s="452"/>
      <c r="B400" s="453"/>
      <c r="C400" s="454"/>
      <c r="D400" s="454"/>
      <c r="E400" s="439"/>
      <c r="F400" s="439"/>
      <c r="G400" s="454"/>
      <c r="H400" s="454"/>
      <c r="I400" s="456"/>
      <c r="J400" s="459"/>
      <c r="K400" s="458"/>
      <c r="L400" s="454"/>
      <c r="M400" s="453"/>
      <c r="N400" s="413"/>
      <c r="O400" s="413"/>
      <c r="P400" s="413"/>
      <c r="Q400" s="413"/>
      <c r="R400" s="413"/>
      <c r="S400" s="413"/>
      <c r="T400" s="413"/>
      <c r="U400" s="413"/>
      <c r="V400" s="413"/>
      <c r="W400" s="413"/>
      <c r="X400" s="413"/>
      <c r="Y400" s="413"/>
      <c r="Z400" s="413"/>
    </row>
    <row r="401">
      <c r="A401" s="452"/>
      <c r="B401" s="453"/>
      <c r="C401" s="454"/>
      <c r="D401" s="454"/>
      <c r="E401" s="439"/>
      <c r="F401" s="439"/>
      <c r="G401" s="454"/>
      <c r="H401" s="454"/>
      <c r="I401" s="456"/>
      <c r="J401" s="459"/>
      <c r="K401" s="458"/>
      <c r="L401" s="454"/>
      <c r="M401" s="453"/>
      <c r="N401" s="413"/>
      <c r="O401" s="413"/>
      <c r="P401" s="413"/>
      <c r="Q401" s="413"/>
      <c r="R401" s="413"/>
      <c r="S401" s="413"/>
      <c r="T401" s="413"/>
      <c r="U401" s="413"/>
      <c r="V401" s="413"/>
      <c r="W401" s="413"/>
      <c r="X401" s="413"/>
      <c r="Y401" s="413"/>
      <c r="Z401" s="413"/>
    </row>
    <row r="402">
      <c r="A402" s="452"/>
      <c r="B402" s="453"/>
      <c r="C402" s="454"/>
      <c r="D402" s="454"/>
      <c r="E402" s="439"/>
      <c r="F402" s="439"/>
      <c r="G402" s="454"/>
      <c r="H402" s="454"/>
      <c r="I402" s="456"/>
      <c r="J402" s="459"/>
      <c r="K402" s="458"/>
      <c r="L402" s="454"/>
      <c r="M402" s="453"/>
      <c r="N402" s="413"/>
      <c r="O402" s="413"/>
      <c r="P402" s="413"/>
      <c r="Q402" s="413"/>
      <c r="R402" s="413"/>
      <c r="S402" s="413"/>
      <c r="T402" s="413"/>
      <c r="U402" s="413"/>
      <c r="V402" s="413"/>
      <c r="W402" s="413"/>
      <c r="X402" s="413"/>
      <c r="Y402" s="413"/>
      <c r="Z402" s="413"/>
    </row>
    <row r="403">
      <c r="A403" s="452"/>
      <c r="B403" s="453"/>
      <c r="C403" s="454"/>
      <c r="D403" s="454"/>
      <c r="E403" s="439"/>
      <c r="F403" s="439"/>
      <c r="G403" s="454"/>
      <c r="H403" s="454"/>
      <c r="I403" s="456"/>
      <c r="J403" s="459"/>
      <c r="K403" s="458"/>
      <c r="L403" s="454"/>
      <c r="M403" s="453"/>
      <c r="N403" s="413"/>
      <c r="O403" s="413"/>
      <c r="P403" s="413"/>
      <c r="Q403" s="413"/>
      <c r="R403" s="413"/>
      <c r="S403" s="413"/>
      <c r="T403" s="413"/>
      <c r="U403" s="413"/>
      <c r="V403" s="413"/>
      <c r="W403" s="413"/>
      <c r="X403" s="413"/>
      <c r="Y403" s="413"/>
      <c r="Z403" s="413"/>
    </row>
    <row r="404">
      <c r="A404" s="452"/>
      <c r="B404" s="453"/>
      <c r="C404" s="454"/>
      <c r="D404" s="454"/>
      <c r="E404" s="439"/>
      <c r="F404" s="439"/>
      <c r="G404" s="454"/>
      <c r="H404" s="454"/>
      <c r="I404" s="456"/>
      <c r="J404" s="459"/>
      <c r="K404" s="458"/>
      <c r="L404" s="454"/>
      <c r="M404" s="453"/>
      <c r="N404" s="413"/>
      <c r="O404" s="413"/>
      <c r="P404" s="413"/>
      <c r="Q404" s="413"/>
      <c r="R404" s="413"/>
      <c r="S404" s="413"/>
      <c r="T404" s="413"/>
      <c r="U404" s="413"/>
      <c r="V404" s="413"/>
      <c r="W404" s="413"/>
      <c r="X404" s="413"/>
      <c r="Y404" s="413"/>
      <c r="Z404" s="413"/>
    </row>
    <row r="405">
      <c r="A405" s="452"/>
      <c r="B405" s="453"/>
      <c r="C405" s="454"/>
      <c r="D405" s="454"/>
      <c r="E405" s="439"/>
      <c r="F405" s="439"/>
      <c r="G405" s="454"/>
      <c r="H405" s="454"/>
      <c r="I405" s="456"/>
      <c r="J405" s="459"/>
      <c r="K405" s="458"/>
      <c r="L405" s="454"/>
      <c r="M405" s="453"/>
      <c r="N405" s="413"/>
      <c r="O405" s="413"/>
      <c r="P405" s="413"/>
      <c r="Q405" s="413"/>
      <c r="R405" s="413"/>
      <c r="S405" s="413"/>
      <c r="T405" s="413"/>
      <c r="U405" s="413"/>
      <c r="V405" s="413"/>
      <c r="W405" s="413"/>
      <c r="X405" s="413"/>
      <c r="Y405" s="413"/>
      <c r="Z405" s="413"/>
    </row>
    <row r="406">
      <c r="A406" s="452"/>
      <c r="B406" s="453"/>
      <c r="C406" s="454"/>
      <c r="D406" s="454"/>
      <c r="E406" s="439"/>
      <c r="F406" s="439"/>
      <c r="G406" s="454"/>
      <c r="H406" s="454"/>
      <c r="I406" s="456"/>
      <c r="J406" s="459"/>
      <c r="K406" s="458"/>
      <c r="L406" s="454"/>
      <c r="M406" s="453"/>
      <c r="N406" s="413"/>
      <c r="O406" s="413"/>
      <c r="P406" s="413"/>
      <c r="Q406" s="413"/>
      <c r="R406" s="413"/>
      <c r="S406" s="413"/>
      <c r="T406" s="413"/>
      <c r="U406" s="413"/>
      <c r="V406" s="413"/>
      <c r="W406" s="413"/>
      <c r="X406" s="413"/>
      <c r="Y406" s="413"/>
      <c r="Z406" s="413"/>
    </row>
    <row r="407">
      <c r="A407" s="452"/>
      <c r="B407" s="453"/>
      <c r="C407" s="454"/>
      <c r="D407" s="454"/>
      <c r="E407" s="439"/>
      <c r="F407" s="439"/>
      <c r="G407" s="454"/>
      <c r="H407" s="454"/>
      <c r="I407" s="456"/>
      <c r="J407" s="459"/>
      <c r="K407" s="458"/>
      <c r="L407" s="454"/>
      <c r="M407" s="453"/>
      <c r="N407" s="413"/>
      <c r="O407" s="413"/>
      <c r="P407" s="413"/>
      <c r="Q407" s="413"/>
      <c r="R407" s="413"/>
      <c r="S407" s="413"/>
      <c r="T407" s="413"/>
      <c r="U407" s="413"/>
      <c r="V407" s="413"/>
      <c r="W407" s="413"/>
      <c r="X407" s="413"/>
      <c r="Y407" s="413"/>
      <c r="Z407" s="413"/>
    </row>
    <row r="408">
      <c r="A408" s="452"/>
      <c r="B408" s="453"/>
      <c r="C408" s="454"/>
      <c r="D408" s="454"/>
      <c r="E408" s="439"/>
      <c r="F408" s="439"/>
      <c r="G408" s="454"/>
      <c r="H408" s="454"/>
      <c r="I408" s="456"/>
      <c r="J408" s="459"/>
      <c r="K408" s="458"/>
      <c r="L408" s="454"/>
      <c r="M408" s="453"/>
      <c r="N408" s="413"/>
      <c r="O408" s="413"/>
      <c r="P408" s="413"/>
      <c r="Q408" s="413"/>
      <c r="R408" s="413"/>
      <c r="S408" s="413"/>
      <c r="T408" s="413"/>
      <c r="U408" s="413"/>
      <c r="V408" s="413"/>
      <c r="W408" s="413"/>
      <c r="X408" s="413"/>
      <c r="Y408" s="413"/>
      <c r="Z408" s="413"/>
    </row>
    <row r="409">
      <c r="A409" s="452"/>
      <c r="B409" s="453"/>
      <c r="C409" s="454"/>
      <c r="D409" s="454"/>
      <c r="E409" s="439"/>
      <c r="F409" s="439"/>
      <c r="G409" s="454"/>
      <c r="H409" s="454"/>
      <c r="I409" s="456"/>
      <c r="J409" s="459"/>
      <c r="K409" s="458"/>
      <c r="L409" s="454"/>
      <c r="M409" s="453"/>
      <c r="N409" s="413"/>
      <c r="O409" s="413"/>
      <c r="P409" s="413"/>
      <c r="Q409" s="413"/>
      <c r="R409" s="413"/>
      <c r="S409" s="413"/>
      <c r="T409" s="413"/>
      <c r="U409" s="413"/>
      <c r="V409" s="413"/>
      <c r="W409" s="413"/>
      <c r="X409" s="413"/>
      <c r="Y409" s="413"/>
      <c r="Z409" s="413"/>
    </row>
    <row r="410">
      <c r="A410" s="452"/>
      <c r="B410" s="453"/>
      <c r="C410" s="454"/>
      <c r="D410" s="454"/>
      <c r="E410" s="439"/>
      <c r="F410" s="439"/>
      <c r="G410" s="454"/>
      <c r="H410" s="454"/>
      <c r="I410" s="456"/>
      <c r="J410" s="459"/>
      <c r="K410" s="458"/>
      <c r="L410" s="454"/>
      <c r="M410" s="453"/>
      <c r="N410" s="413"/>
      <c r="O410" s="413"/>
      <c r="P410" s="413"/>
      <c r="Q410" s="413"/>
      <c r="R410" s="413"/>
      <c r="S410" s="413"/>
      <c r="T410" s="413"/>
      <c r="U410" s="413"/>
      <c r="V410" s="413"/>
      <c r="W410" s="413"/>
      <c r="X410" s="413"/>
      <c r="Y410" s="413"/>
      <c r="Z410" s="413"/>
    </row>
    <row r="411">
      <c r="A411" s="452"/>
      <c r="B411" s="453"/>
      <c r="C411" s="454"/>
      <c r="D411" s="454"/>
      <c r="E411" s="439"/>
      <c r="F411" s="439"/>
      <c r="G411" s="454"/>
      <c r="H411" s="454"/>
      <c r="I411" s="456"/>
      <c r="J411" s="459"/>
      <c r="K411" s="458"/>
      <c r="L411" s="454"/>
      <c r="M411" s="453"/>
      <c r="N411" s="413"/>
      <c r="O411" s="413"/>
      <c r="P411" s="413"/>
      <c r="Q411" s="413"/>
      <c r="R411" s="413"/>
      <c r="S411" s="413"/>
      <c r="T411" s="413"/>
      <c r="U411" s="413"/>
      <c r="V411" s="413"/>
      <c r="W411" s="413"/>
      <c r="X411" s="413"/>
      <c r="Y411" s="413"/>
      <c r="Z411" s="413"/>
    </row>
    <row r="412">
      <c r="A412" s="452"/>
      <c r="B412" s="453"/>
      <c r="C412" s="454"/>
      <c r="D412" s="454"/>
      <c r="E412" s="439"/>
      <c r="F412" s="439"/>
      <c r="G412" s="454"/>
      <c r="H412" s="454"/>
      <c r="I412" s="456"/>
      <c r="J412" s="459"/>
      <c r="K412" s="458"/>
      <c r="L412" s="454"/>
      <c r="M412" s="453"/>
      <c r="N412" s="413"/>
      <c r="O412" s="413"/>
      <c r="P412" s="413"/>
      <c r="Q412" s="413"/>
      <c r="R412" s="413"/>
      <c r="S412" s="413"/>
      <c r="T412" s="413"/>
      <c r="U412" s="413"/>
      <c r="V412" s="413"/>
      <c r="W412" s="413"/>
      <c r="X412" s="413"/>
      <c r="Y412" s="413"/>
      <c r="Z412" s="413"/>
    </row>
    <row r="413">
      <c r="A413" s="452"/>
      <c r="B413" s="453"/>
      <c r="C413" s="454"/>
      <c r="D413" s="454"/>
      <c r="E413" s="439"/>
      <c r="F413" s="439"/>
      <c r="G413" s="454"/>
      <c r="H413" s="454"/>
      <c r="I413" s="456"/>
      <c r="J413" s="459"/>
      <c r="K413" s="458"/>
      <c r="L413" s="454"/>
      <c r="M413" s="453"/>
      <c r="N413" s="413"/>
      <c r="O413" s="413"/>
      <c r="P413" s="413"/>
      <c r="Q413" s="413"/>
      <c r="R413" s="413"/>
      <c r="S413" s="413"/>
      <c r="T413" s="413"/>
      <c r="U413" s="413"/>
      <c r="V413" s="413"/>
      <c r="W413" s="413"/>
      <c r="X413" s="413"/>
      <c r="Y413" s="413"/>
      <c r="Z413" s="413"/>
    </row>
    <row r="414">
      <c r="A414" s="452"/>
      <c r="B414" s="453"/>
      <c r="C414" s="454"/>
      <c r="D414" s="454"/>
      <c r="E414" s="439"/>
      <c r="F414" s="439"/>
      <c r="G414" s="454"/>
      <c r="H414" s="454"/>
      <c r="I414" s="456"/>
      <c r="J414" s="459"/>
      <c r="K414" s="458"/>
      <c r="L414" s="454"/>
      <c r="M414" s="453"/>
      <c r="N414" s="413"/>
      <c r="O414" s="413"/>
      <c r="P414" s="413"/>
      <c r="Q414" s="413"/>
      <c r="R414" s="413"/>
      <c r="S414" s="413"/>
      <c r="T414" s="413"/>
      <c r="U414" s="413"/>
      <c r="V414" s="413"/>
      <c r="W414" s="413"/>
      <c r="X414" s="413"/>
      <c r="Y414" s="413"/>
      <c r="Z414" s="413"/>
    </row>
    <row r="415">
      <c r="A415" s="452"/>
      <c r="B415" s="453"/>
      <c r="C415" s="454"/>
      <c r="D415" s="454"/>
      <c r="E415" s="439"/>
      <c r="F415" s="439"/>
      <c r="G415" s="454"/>
      <c r="H415" s="454"/>
      <c r="I415" s="456"/>
      <c r="J415" s="459"/>
      <c r="K415" s="458"/>
      <c r="L415" s="454"/>
      <c r="M415" s="453"/>
      <c r="N415" s="413"/>
      <c r="O415" s="413"/>
      <c r="P415" s="413"/>
      <c r="Q415" s="413"/>
      <c r="R415" s="413"/>
      <c r="S415" s="413"/>
      <c r="T415" s="413"/>
      <c r="U415" s="413"/>
      <c r="V415" s="413"/>
      <c r="W415" s="413"/>
      <c r="X415" s="413"/>
      <c r="Y415" s="413"/>
      <c r="Z415" s="413"/>
    </row>
    <row r="416">
      <c r="A416" s="452"/>
      <c r="B416" s="453"/>
      <c r="C416" s="454"/>
      <c r="D416" s="454"/>
      <c r="E416" s="439"/>
      <c r="F416" s="439"/>
      <c r="G416" s="454"/>
      <c r="H416" s="454"/>
      <c r="I416" s="456"/>
      <c r="J416" s="459"/>
      <c r="K416" s="458"/>
      <c r="L416" s="454"/>
      <c r="M416" s="453"/>
      <c r="N416" s="413"/>
      <c r="O416" s="413"/>
      <c r="P416" s="413"/>
      <c r="Q416" s="413"/>
      <c r="R416" s="413"/>
      <c r="S416" s="413"/>
      <c r="T416" s="413"/>
      <c r="U416" s="413"/>
      <c r="V416" s="413"/>
      <c r="W416" s="413"/>
      <c r="X416" s="413"/>
      <c r="Y416" s="413"/>
      <c r="Z416" s="413"/>
    </row>
    <row r="417">
      <c r="A417" s="452"/>
      <c r="B417" s="453"/>
      <c r="C417" s="454"/>
      <c r="D417" s="454"/>
      <c r="E417" s="439"/>
      <c r="F417" s="439"/>
      <c r="G417" s="454"/>
      <c r="H417" s="454"/>
      <c r="I417" s="456"/>
      <c r="J417" s="459"/>
      <c r="K417" s="458"/>
      <c r="L417" s="454"/>
      <c r="M417" s="453"/>
      <c r="N417" s="413"/>
      <c r="O417" s="413"/>
      <c r="P417" s="413"/>
      <c r="Q417" s="413"/>
      <c r="R417" s="413"/>
      <c r="S417" s="413"/>
      <c r="T417" s="413"/>
      <c r="U417" s="413"/>
      <c r="V417" s="413"/>
      <c r="W417" s="413"/>
      <c r="X417" s="413"/>
      <c r="Y417" s="413"/>
      <c r="Z417" s="413"/>
    </row>
    <row r="418">
      <c r="A418" s="452"/>
      <c r="B418" s="453"/>
      <c r="C418" s="454"/>
      <c r="D418" s="454"/>
      <c r="E418" s="439"/>
      <c r="F418" s="439"/>
      <c r="G418" s="454"/>
      <c r="H418" s="454"/>
      <c r="I418" s="456"/>
      <c r="J418" s="459"/>
      <c r="K418" s="458"/>
      <c r="L418" s="454"/>
      <c r="M418" s="453"/>
      <c r="N418" s="413"/>
      <c r="O418" s="413"/>
      <c r="P418" s="413"/>
      <c r="Q418" s="413"/>
      <c r="R418" s="413"/>
      <c r="S418" s="413"/>
      <c r="T418" s="413"/>
      <c r="U418" s="413"/>
      <c r="V418" s="413"/>
      <c r="W418" s="413"/>
      <c r="X418" s="413"/>
      <c r="Y418" s="413"/>
      <c r="Z418" s="413"/>
    </row>
    <row r="419">
      <c r="A419" s="452"/>
      <c r="B419" s="453"/>
      <c r="C419" s="454"/>
      <c r="D419" s="454"/>
      <c r="E419" s="439"/>
      <c r="F419" s="439"/>
      <c r="G419" s="454"/>
      <c r="H419" s="454"/>
      <c r="I419" s="456"/>
      <c r="J419" s="459"/>
      <c r="K419" s="458"/>
      <c r="L419" s="454"/>
      <c r="M419" s="453"/>
      <c r="N419" s="413"/>
      <c r="O419" s="413"/>
      <c r="P419" s="413"/>
      <c r="Q419" s="413"/>
      <c r="R419" s="413"/>
      <c r="S419" s="413"/>
      <c r="T419" s="413"/>
      <c r="U419" s="413"/>
      <c r="V419" s="413"/>
      <c r="W419" s="413"/>
      <c r="X419" s="413"/>
      <c r="Y419" s="413"/>
      <c r="Z419" s="413"/>
    </row>
    <row r="420">
      <c r="A420" s="452"/>
      <c r="B420" s="453"/>
      <c r="C420" s="454"/>
      <c r="D420" s="454"/>
      <c r="E420" s="439"/>
      <c r="F420" s="439"/>
      <c r="G420" s="454"/>
      <c r="H420" s="454"/>
      <c r="I420" s="456"/>
      <c r="J420" s="459"/>
      <c r="K420" s="458"/>
      <c r="L420" s="454"/>
      <c r="M420" s="453"/>
      <c r="N420" s="413"/>
      <c r="O420" s="413"/>
      <c r="P420" s="413"/>
      <c r="Q420" s="413"/>
      <c r="R420" s="413"/>
      <c r="S420" s="413"/>
      <c r="T420" s="413"/>
      <c r="U420" s="413"/>
      <c r="V420" s="413"/>
      <c r="W420" s="413"/>
      <c r="X420" s="413"/>
      <c r="Y420" s="413"/>
      <c r="Z420" s="413"/>
    </row>
    <row r="421">
      <c r="A421" s="452"/>
      <c r="B421" s="453"/>
      <c r="C421" s="454"/>
      <c r="D421" s="454"/>
      <c r="E421" s="439"/>
      <c r="F421" s="439"/>
      <c r="G421" s="454"/>
      <c r="H421" s="454"/>
      <c r="I421" s="456"/>
      <c r="J421" s="459"/>
      <c r="K421" s="458"/>
      <c r="L421" s="454"/>
      <c r="M421" s="453"/>
      <c r="N421" s="413"/>
      <c r="O421" s="413"/>
      <c r="P421" s="413"/>
      <c r="Q421" s="413"/>
      <c r="R421" s="413"/>
      <c r="S421" s="413"/>
      <c r="T421" s="413"/>
      <c r="U421" s="413"/>
      <c r="V421" s="413"/>
      <c r="W421" s="413"/>
      <c r="X421" s="413"/>
      <c r="Y421" s="413"/>
      <c r="Z421" s="413"/>
    </row>
    <row r="422">
      <c r="A422" s="452"/>
      <c r="B422" s="453"/>
      <c r="C422" s="454"/>
      <c r="D422" s="454"/>
      <c r="E422" s="439"/>
      <c r="F422" s="439"/>
      <c r="G422" s="454"/>
      <c r="H422" s="454"/>
      <c r="I422" s="456"/>
      <c r="J422" s="459"/>
      <c r="K422" s="458"/>
      <c r="L422" s="454"/>
      <c r="M422" s="453"/>
      <c r="N422" s="413"/>
      <c r="O422" s="413"/>
      <c r="P422" s="413"/>
      <c r="Q422" s="413"/>
      <c r="R422" s="413"/>
      <c r="S422" s="413"/>
      <c r="T422" s="413"/>
      <c r="U422" s="413"/>
      <c r="V422" s="413"/>
      <c r="W422" s="413"/>
      <c r="X422" s="413"/>
      <c r="Y422" s="413"/>
      <c r="Z422" s="413"/>
    </row>
    <row r="423">
      <c r="A423" s="452"/>
      <c r="B423" s="453"/>
      <c r="C423" s="454"/>
      <c r="D423" s="454"/>
      <c r="E423" s="439"/>
      <c r="F423" s="439"/>
      <c r="G423" s="454"/>
      <c r="H423" s="454"/>
      <c r="I423" s="456"/>
      <c r="J423" s="459"/>
      <c r="K423" s="458"/>
      <c r="L423" s="454"/>
      <c r="M423" s="453"/>
      <c r="N423" s="413"/>
      <c r="O423" s="413"/>
      <c r="P423" s="413"/>
      <c r="Q423" s="413"/>
      <c r="R423" s="413"/>
      <c r="S423" s="413"/>
      <c r="T423" s="413"/>
      <c r="U423" s="413"/>
      <c r="V423" s="413"/>
      <c r="W423" s="413"/>
      <c r="X423" s="413"/>
      <c r="Y423" s="413"/>
      <c r="Z423" s="413"/>
    </row>
    <row r="424">
      <c r="A424" s="452"/>
      <c r="B424" s="453"/>
      <c r="C424" s="454"/>
      <c r="D424" s="454"/>
      <c r="E424" s="439"/>
      <c r="F424" s="439"/>
      <c r="G424" s="454"/>
      <c r="H424" s="454"/>
      <c r="I424" s="456"/>
      <c r="J424" s="459"/>
      <c r="K424" s="458"/>
      <c r="L424" s="454"/>
      <c r="M424" s="453"/>
      <c r="N424" s="413"/>
      <c r="O424" s="413"/>
      <c r="P424" s="413"/>
      <c r="Q424" s="413"/>
      <c r="R424" s="413"/>
      <c r="S424" s="413"/>
      <c r="T424" s="413"/>
      <c r="U424" s="413"/>
      <c r="V424" s="413"/>
      <c r="W424" s="413"/>
      <c r="X424" s="413"/>
      <c r="Y424" s="413"/>
      <c r="Z424" s="413"/>
    </row>
    <row r="425">
      <c r="A425" s="452"/>
      <c r="B425" s="453"/>
      <c r="C425" s="454"/>
      <c r="D425" s="454"/>
      <c r="E425" s="439"/>
      <c r="F425" s="439"/>
      <c r="G425" s="454"/>
      <c r="H425" s="454"/>
      <c r="I425" s="456"/>
      <c r="J425" s="459"/>
      <c r="K425" s="458"/>
      <c r="L425" s="454"/>
      <c r="M425" s="453"/>
      <c r="N425" s="413"/>
      <c r="O425" s="413"/>
      <c r="P425" s="413"/>
      <c r="Q425" s="413"/>
      <c r="R425" s="413"/>
      <c r="S425" s="413"/>
      <c r="T425" s="413"/>
      <c r="U425" s="413"/>
      <c r="V425" s="413"/>
      <c r="W425" s="413"/>
      <c r="X425" s="413"/>
      <c r="Y425" s="413"/>
      <c r="Z425" s="413"/>
    </row>
    <row r="426">
      <c r="A426" s="452"/>
      <c r="B426" s="439"/>
      <c r="C426" s="454"/>
      <c r="D426" s="454"/>
      <c r="E426" s="439"/>
      <c r="F426" s="439"/>
      <c r="G426" s="454"/>
      <c r="H426" s="454"/>
      <c r="I426" s="456"/>
      <c r="J426" s="459"/>
      <c r="K426" s="458"/>
      <c r="L426" s="454"/>
      <c r="M426" s="453"/>
      <c r="N426" s="413"/>
      <c r="O426" s="413"/>
      <c r="P426" s="413"/>
      <c r="Q426" s="413"/>
      <c r="R426" s="413"/>
      <c r="S426" s="413"/>
      <c r="T426" s="413"/>
      <c r="U426" s="413"/>
      <c r="V426" s="413"/>
      <c r="W426" s="413"/>
      <c r="X426" s="413"/>
      <c r="Y426" s="413"/>
      <c r="Z426" s="413"/>
    </row>
    <row r="427">
      <c r="A427" s="452"/>
      <c r="B427" s="439"/>
      <c r="C427" s="454"/>
      <c r="D427" s="454"/>
      <c r="E427" s="439"/>
      <c r="F427" s="439"/>
      <c r="G427" s="454"/>
      <c r="H427" s="454"/>
      <c r="I427" s="456"/>
      <c r="J427" s="459"/>
      <c r="K427" s="458"/>
      <c r="L427" s="454"/>
      <c r="M427" s="453"/>
      <c r="N427" s="413"/>
      <c r="O427" s="413"/>
      <c r="P427" s="413"/>
      <c r="Q427" s="413"/>
      <c r="R427" s="413"/>
      <c r="S427" s="413"/>
      <c r="T427" s="413"/>
      <c r="U427" s="413"/>
      <c r="V427" s="413"/>
      <c r="W427" s="413"/>
      <c r="X427" s="413"/>
      <c r="Y427" s="413"/>
      <c r="Z427" s="413"/>
    </row>
    <row r="428">
      <c r="A428" s="452"/>
      <c r="B428" s="439"/>
      <c r="C428" s="454"/>
      <c r="D428" s="454"/>
      <c r="E428" s="439"/>
      <c r="F428" s="439"/>
      <c r="G428" s="454"/>
      <c r="H428" s="454"/>
      <c r="I428" s="456"/>
      <c r="J428" s="459"/>
      <c r="K428" s="458"/>
      <c r="L428" s="454"/>
      <c r="M428" s="453"/>
      <c r="N428" s="413"/>
      <c r="O428" s="413"/>
      <c r="P428" s="413"/>
      <c r="Q428" s="413"/>
      <c r="R428" s="413"/>
      <c r="S428" s="413"/>
      <c r="T428" s="413"/>
      <c r="U428" s="413"/>
      <c r="V428" s="413"/>
      <c r="W428" s="413"/>
      <c r="X428" s="413"/>
      <c r="Y428" s="413"/>
      <c r="Z428" s="413"/>
    </row>
    <row r="429">
      <c r="A429" s="452"/>
      <c r="B429" s="439"/>
      <c r="C429" s="454"/>
      <c r="D429" s="454"/>
      <c r="E429" s="439"/>
      <c r="F429" s="439"/>
      <c r="G429" s="454"/>
      <c r="H429" s="454"/>
      <c r="I429" s="456"/>
      <c r="J429" s="459"/>
      <c r="K429" s="458"/>
      <c r="L429" s="454"/>
      <c r="M429" s="453"/>
      <c r="N429" s="413"/>
      <c r="O429" s="413"/>
      <c r="P429" s="413"/>
      <c r="Q429" s="413"/>
      <c r="R429" s="413"/>
      <c r="S429" s="413"/>
      <c r="T429" s="413"/>
      <c r="U429" s="413"/>
      <c r="V429" s="413"/>
      <c r="W429" s="413"/>
      <c r="X429" s="413"/>
      <c r="Y429" s="413"/>
      <c r="Z429" s="413"/>
    </row>
    <row r="430">
      <c r="A430" s="452"/>
      <c r="B430" s="439"/>
      <c r="C430" s="454"/>
      <c r="D430" s="454"/>
      <c r="E430" s="439"/>
      <c r="F430" s="439"/>
      <c r="G430" s="454"/>
      <c r="H430" s="454"/>
      <c r="I430" s="456"/>
      <c r="J430" s="459"/>
      <c r="K430" s="458"/>
      <c r="L430" s="454"/>
      <c r="M430" s="453"/>
      <c r="N430" s="413"/>
      <c r="O430" s="413"/>
      <c r="P430" s="413"/>
      <c r="Q430" s="413"/>
      <c r="R430" s="413"/>
      <c r="S430" s="413"/>
      <c r="T430" s="413"/>
      <c r="U430" s="413"/>
      <c r="V430" s="413"/>
      <c r="W430" s="413"/>
      <c r="X430" s="413"/>
      <c r="Y430" s="413"/>
      <c r="Z430" s="413"/>
    </row>
    <row r="431">
      <c r="A431" s="452"/>
      <c r="B431" s="439"/>
      <c r="C431" s="454"/>
      <c r="D431" s="454"/>
      <c r="E431" s="439"/>
      <c r="F431" s="439"/>
      <c r="G431" s="454"/>
      <c r="H431" s="454"/>
      <c r="I431" s="456"/>
      <c r="J431" s="459"/>
      <c r="K431" s="458"/>
      <c r="L431" s="454"/>
      <c r="M431" s="453"/>
      <c r="N431" s="413"/>
      <c r="O431" s="413"/>
      <c r="P431" s="413"/>
      <c r="Q431" s="413"/>
      <c r="R431" s="413"/>
      <c r="S431" s="413"/>
      <c r="T431" s="413"/>
      <c r="U431" s="413"/>
      <c r="V431" s="413"/>
      <c r="W431" s="413"/>
      <c r="X431" s="413"/>
      <c r="Y431" s="413"/>
      <c r="Z431" s="413"/>
    </row>
    <row r="432">
      <c r="A432" s="452"/>
      <c r="B432" s="439"/>
      <c r="C432" s="454"/>
      <c r="D432" s="454"/>
      <c r="E432" s="439"/>
      <c r="F432" s="439"/>
      <c r="G432" s="454"/>
      <c r="H432" s="454"/>
      <c r="I432" s="456"/>
      <c r="J432" s="459"/>
      <c r="K432" s="458"/>
      <c r="L432" s="454"/>
      <c r="M432" s="453"/>
      <c r="N432" s="413"/>
      <c r="O432" s="413"/>
      <c r="P432" s="413"/>
      <c r="Q432" s="413"/>
      <c r="R432" s="413"/>
      <c r="S432" s="413"/>
      <c r="T432" s="413"/>
      <c r="U432" s="413"/>
      <c r="V432" s="413"/>
      <c r="W432" s="413"/>
      <c r="X432" s="413"/>
      <c r="Y432" s="413"/>
      <c r="Z432" s="413"/>
    </row>
    <row r="433">
      <c r="A433" s="452"/>
      <c r="B433" s="439"/>
      <c r="C433" s="454"/>
      <c r="D433" s="454"/>
      <c r="E433" s="439"/>
      <c r="F433" s="439"/>
      <c r="G433" s="454"/>
      <c r="H433" s="454"/>
      <c r="I433" s="456"/>
      <c r="J433" s="459"/>
      <c r="K433" s="458"/>
      <c r="L433" s="454"/>
      <c r="M433" s="453"/>
      <c r="N433" s="413"/>
      <c r="O433" s="413"/>
      <c r="P433" s="413"/>
      <c r="Q433" s="413"/>
      <c r="R433" s="413"/>
      <c r="S433" s="413"/>
      <c r="T433" s="413"/>
      <c r="U433" s="413"/>
      <c r="V433" s="413"/>
      <c r="W433" s="413"/>
      <c r="X433" s="413"/>
      <c r="Y433" s="413"/>
      <c r="Z433" s="413"/>
    </row>
    <row r="434">
      <c r="A434" s="452"/>
      <c r="B434" s="439"/>
      <c r="C434" s="454"/>
      <c r="D434" s="454"/>
      <c r="E434" s="439"/>
      <c r="F434" s="439"/>
      <c r="G434" s="454"/>
      <c r="H434" s="454"/>
      <c r="I434" s="456"/>
      <c r="J434" s="459"/>
      <c r="K434" s="458"/>
      <c r="L434" s="454"/>
      <c r="M434" s="453"/>
      <c r="N434" s="413"/>
      <c r="O434" s="413"/>
      <c r="P434" s="413"/>
      <c r="Q434" s="413"/>
      <c r="R434" s="413"/>
      <c r="S434" s="413"/>
      <c r="T434" s="413"/>
      <c r="U434" s="413"/>
      <c r="V434" s="413"/>
      <c r="W434" s="413"/>
      <c r="X434" s="413"/>
      <c r="Y434" s="413"/>
      <c r="Z434" s="413"/>
    </row>
    <row r="435">
      <c r="A435" s="452"/>
      <c r="B435" s="439"/>
      <c r="C435" s="454"/>
      <c r="D435" s="454"/>
      <c r="E435" s="439"/>
      <c r="F435" s="439"/>
      <c r="G435" s="454"/>
      <c r="H435" s="454"/>
      <c r="I435" s="456"/>
      <c r="J435" s="459"/>
      <c r="K435" s="458"/>
      <c r="L435" s="454"/>
      <c r="M435" s="453"/>
      <c r="N435" s="413"/>
      <c r="O435" s="413"/>
      <c r="P435" s="413"/>
      <c r="Q435" s="413"/>
      <c r="R435" s="413"/>
      <c r="S435" s="413"/>
      <c r="T435" s="413"/>
      <c r="U435" s="413"/>
      <c r="V435" s="413"/>
      <c r="W435" s="413"/>
      <c r="X435" s="413"/>
      <c r="Y435" s="413"/>
      <c r="Z435" s="413"/>
    </row>
    <row r="436">
      <c r="A436" s="452"/>
      <c r="B436" s="439"/>
      <c r="C436" s="454"/>
      <c r="D436" s="454"/>
      <c r="E436" s="439"/>
      <c r="F436" s="439"/>
      <c r="G436" s="454"/>
      <c r="H436" s="454"/>
      <c r="I436" s="456"/>
      <c r="J436" s="459"/>
      <c r="K436" s="458"/>
      <c r="L436" s="454"/>
      <c r="M436" s="453"/>
      <c r="N436" s="413"/>
      <c r="O436" s="413"/>
      <c r="P436" s="413"/>
      <c r="Q436" s="413"/>
      <c r="R436" s="413"/>
      <c r="S436" s="413"/>
      <c r="T436" s="413"/>
      <c r="U436" s="413"/>
      <c r="V436" s="413"/>
      <c r="W436" s="413"/>
      <c r="X436" s="413"/>
      <c r="Y436" s="413"/>
      <c r="Z436" s="413"/>
    </row>
    <row r="437">
      <c r="A437" s="452"/>
      <c r="B437" s="439"/>
      <c r="C437" s="454"/>
      <c r="D437" s="454"/>
      <c r="E437" s="439"/>
      <c r="F437" s="439"/>
      <c r="G437" s="454"/>
      <c r="H437" s="454"/>
      <c r="I437" s="456"/>
      <c r="J437" s="459"/>
      <c r="K437" s="458"/>
      <c r="L437" s="454"/>
      <c r="M437" s="453"/>
      <c r="N437" s="413"/>
      <c r="O437" s="413"/>
      <c r="P437" s="413"/>
      <c r="Q437" s="413"/>
      <c r="R437" s="413"/>
      <c r="S437" s="413"/>
      <c r="T437" s="413"/>
      <c r="U437" s="413"/>
      <c r="V437" s="413"/>
      <c r="W437" s="413"/>
      <c r="X437" s="413"/>
      <c r="Y437" s="413"/>
      <c r="Z437" s="413"/>
    </row>
    <row r="438">
      <c r="A438" s="452"/>
      <c r="B438" s="439"/>
      <c r="C438" s="454"/>
      <c r="D438" s="454"/>
      <c r="E438" s="439"/>
      <c r="F438" s="439"/>
      <c r="G438" s="454"/>
      <c r="H438" s="454"/>
      <c r="I438" s="456"/>
      <c r="J438" s="459"/>
      <c r="K438" s="458"/>
      <c r="L438" s="454"/>
      <c r="M438" s="453"/>
      <c r="N438" s="413"/>
      <c r="O438" s="413"/>
      <c r="P438" s="413"/>
      <c r="Q438" s="413"/>
      <c r="R438" s="413"/>
      <c r="S438" s="413"/>
      <c r="T438" s="413"/>
      <c r="U438" s="413"/>
      <c r="V438" s="413"/>
      <c r="W438" s="413"/>
      <c r="X438" s="413"/>
      <c r="Y438" s="413"/>
      <c r="Z438" s="413"/>
    </row>
    <row r="439">
      <c r="A439" s="452"/>
      <c r="B439" s="439"/>
      <c r="C439" s="454"/>
      <c r="D439" s="454"/>
      <c r="E439" s="439"/>
      <c r="F439" s="439"/>
      <c r="G439" s="454"/>
      <c r="H439" s="454"/>
      <c r="I439" s="456"/>
      <c r="J439" s="459"/>
      <c r="K439" s="458"/>
      <c r="L439" s="454"/>
      <c r="M439" s="453"/>
      <c r="N439" s="413"/>
      <c r="O439" s="413"/>
      <c r="P439" s="413"/>
      <c r="Q439" s="413"/>
      <c r="R439" s="413"/>
      <c r="S439" s="413"/>
      <c r="T439" s="413"/>
      <c r="U439" s="413"/>
      <c r="V439" s="413"/>
      <c r="W439" s="413"/>
      <c r="X439" s="413"/>
      <c r="Y439" s="413"/>
      <c r="Z439" s="413"/>
    </row>
    <row r="440">
      <c r="A440" s="452"/>
      <c r="B440" s="439"/>
      <c r="C440" s="454"/>
      <c r="D440" s="454"/>
      <c r="E440" s="439"/>
      <c r="F440" s="439"/>
      <c r="G440" s="454"/>
      <c r="H440" s="454"/>
      <c r="I440" s="456"/>
      <c r="J440" s="459"/>
      <c r="K440" s="458"/>
      <c r="L440" s="454"/>
      <c r="M440" s="453"/>
      <c r="N440" s="413"/>
      <c r="O440" s="413"/>
      <c r="P440" s="413"/>
      <c r="Q440" s="413"/>
      <c r="R440" s="413"/>
      <c r="S440" s="413"/>
      <c r="T440" s="413"/>
      <c r="U440" s="413"/>
      <c r="V440" s="413"/>
      <c r="W440" s="413"/>
      <c r="X440" s="413"/>
      <c r="Y440" s="413"/>
      <c r="Z440" s="413"/>
    </row>
    <row r="441">
      <c r="A441" s="452"/>
      <c r="B441" s="439"/>
      <c r="C441" s="454"/>
      <c r="D441" s="454"/>
      <c r="E441" s="439"/>
      <c r="F441" s="439"/>
      <c r="G441" s="454"/>
      <c r="H441" s="454"/>
      <c r="I441" s="456"/>
      <c r="J441" s="459"/>
      <c r="K441" s="458"/>
      <c r="L441" s="454"/>
      <c r="M441" s="453"/>
      <c r="N441" s="413"/>
      <c r="O441" s="413"/>
      <c r="P441" s="413"/>
      <c r="Q441" s="413"/>
      <c r="R441" s="413"/>
      <c r="S441" s="413"/>
      <c r="T441" s="413"/>
      <c r="U441" s="413"/>
      <c r="V441" s="413"/>
      <c r="W441" s="413"/>
      <c r="X441" s="413"/>
      <c r="Y441" s="413"/>
      <c r="Z441" s="413"/>
    </row>
    <row r="442">
      <c r="A442" s="452"/>
      <c r="B442" s="439"/>
      <c r="C442" s="454"/>
      <c r="D442" s="454"/>
      <c r="E442" s="439"/>
      <c r="F442" s="439"/>
      <c r="G442" s="454"/>
      <c r="H442" s="454"/>
      <c r="I442" s="456"/>
      <c r="J442" s="459"/>
      <c r="K442" s="458"/>
      <c r="L442" s="454"/>
      <c r="M442" s="453"/>
      <c r="N442" s="413"/>
      <c r="O442" s="413"/>
      <c r="P442" s="413"/>
      <c r="Q442" s="413"/>
      <c r="R442" s="413"/>
      <c r="S442" s="413"/>
      <c r="T442" s="413"/>
      <c r="U442" s="413"/>
      <c r="V442" s="413"/>
      <c r="W442" s="413"/>
      <c r="X442" s="413"/>
      <c r="Y442" s="413"/>
      <c r="Z442" s="413"/>
    </row>
    <row r="443">
      <c r="A443" s="452"/>
      <c r="B443" s="439"/>
      <c r="C443" s="454"/>
      <c r="D443" s="454"/>
      <c r="E443" s="439"/>
      <c r="F443" s="439"/>
      <c r="G443" s="454"/>
      <c r="H443" s="454"/>
      <c r="I443" s="456"/>
      <c r="J443" s="459"/>
      <c r="K443" s="458"/>
      <c r="L443" s="454"/>
      <c r="M443" s="453"/>
      <c r="N443" s="413"/>
      <c r="O443" s="413"/>
      <c r="P443" s="413"/>
      <c r="Q443" s="413"/>
      <c r="R443" s="413"/>
      <c r="S443" s="413"/>
      <c r="T443" s="413"/>
      <c r="U443" s="413"/>
      <c r="V443" s="413"/>
      <c r="W443" s="413"/>
      <c r="X443" s="413"/>
      <c r="Y443" s="413"/>
      <c r="Z443" s="413"/>
    </row>
    <row r="444">
      <c r="A444" s="452"/>
      <c r="B444" s="439"/>
      <c r="C444" s="454"/>
      <c r="D444" s="454"/>
      <c r="E444" s="439"/>
      <c r="F444" s="439"/>
      <c r="G444" s="454"/>
      <c r="H444" s="454"/>
      <c r="I444" s="456"/>
      <c r="J444" s="459"/>
      <c r="K444" s="458"/>
      <c r="L444" s="454"/>
      <c r="M444" s="453"/>
      <c r="N444" s="413"/>
      <c r="O444" s="413"/>
      <c r="P444" s="413"/>
      <c r="Q444" s="413"/>
      <c r="R444" s="413"/>
      <c r="S444" s="413"/>
      <c r="T444" s="413"/>
      <c r="U444" s="413"/>
      <c r="V444" s="413"/>
      <c r="W444" s="413"/>
      <c r="X444" s="413"/>
      <c r="Y444" s="413"/>
      <c r="Z444" s="413"/>
    </row>
    <row r="445">
      <c r="A445" s="452"/>
      <c r="B445" s="439"/>
      <c r="C445" s="454"/>
      <c r="D445" s="454"/>
      <c r="E445" s="439"/>
      <c r="F445" s="439"/>
      <c r="G445" s="454"/>
      <c r="H445" s="454"/>
      <c r="I445" s="456"/>
      <c r="J445" s="459"/>
      <c r="K445" s="458"/>
      <c r="L445" s="454"/>
      <c r="M445" s="453"/>
      <c r="N445" s="413"/>
      <c r="O445" s="413"/>
      <c r="P445" s="413"/>
      <c r="Q445" s="413"/>
      <c r="R445" s="413"/>
      <c r="S445" s="413"/>
      <c r="T445" s="413"/>
      <c r="U445" s="413"/>
      <c r="V445" s="413"/>
      <c r="W445" s="413"/>
      <c r="X445" s="413"/>
      <c r="Y445" s="413"/>
      <c r="Z445" s="413"/>
    </row>
    <row r="446">
      <c r="A446" s="452"/>
      <c r="B446" s="439"/>
      <c r="C446" s="454"/>
      <c r="D446" s="454"/>
      <c r="E446" s="439"/>
      <c r="F446" s="439"/>
      <c r="G446" s="454"/>
      <c r="H446" s="454"/>
      <c r="I446" s="456"/>
      <c r="J446" s="459"/>
      <c r="K446" s="458"/>
      <c r="L446" s="454"/>
      <c r="M446" s="453"/>
      <c r="N446" s="413"/>
      <c r="O446" s="413"/>
      <c r="P446" s="413"/>
      <c r="Q446" s="413"/>
      <c r="R446" s="413"/>
      <c r="S446" s="413"/>
      <c r="T446" s="413"/>
      <c r="U446" s="413"/>
      <c r="V446" s="413"/>
      <c r="W446" s="413"/>
      <c r="X446" s="413"/>
      <c r="Y446" s="413"/>
      <c r="Z446" s="413"/>
    </row>
    <row r="447">
      <c r="A447" s="452"/>
      <c r="B447" s="439"/>
      <c r="C447" s="454"/>
      <c r="D447" s="454"/>
      <c r="E447" s="439"/>
      <c r="F447" s="439"/>
      <c r="G447" s="454"/>
      <c r="H447" s="454"/>
      <c r="I447" s="456"/>
      <c r="J447" s="459"/>
      <c r="K447" s="458"/>
      <c r="L447" s="454"/>
      <c r="M447" s="453"/>
      <c r="N447" s="413"/>
      <c r="O447" s="413"/>
      <c r="P447" s="413"/>
      <c r="Q447" s="413"/>
      <c r="R447" s="413"/>
      <c r="S447" s="413"/>
      <c r="T447" s="413"/>
      <c r="U447" s="413"/>
      <c r="V447" s="413"/>
      <c r="W447" s="413"/>
      <c r="X447" s="413"/>
      <c r="Y447" s="413"/>
      <c r="Z447" s="413"/>
    </row>
    <row r="448">
      <c r="A448" s="452"/>
      <c r="B448" s="439"/>
      <c r="C448" s="454"/>
      <c r="D448" s="454"/>
      <c r="E448" s="439"/>
      <c r="F448" s="439"/>
      <c r="G448" s="454"/>
      <c r="H448" s="454"/>
      <c r="I448" s="456"/>
      <c r="J448" s="459"/>
      <c r="K448" s="458"/>
      <c r="L448" s="454"/>
      <c r="M448" s="453"/>
      <c r="N448" s="413"/>
      <c r="O448" s="413"/>
      <c r="P448" s="413"/>
      <c r="Q448" s="413"/>
      <c r="R448" s="413"/>
      <c r="S448" s="413"/>
      <c r="T448" s="413"/>
      <c r="U448" s="413"/>
      <c r="V448" s="413"/>
      <c r="W448" s="413"/>
      <c r="X448" s="413"/>
      <c r="Y448" s="413"/>
      <c r="Z448" s="413"/>
    </row>
    <row r="449">
      <c r="A449" s="452"/>
      <c r="B449" s="439"/>
      <c r="C449" s="454"/>
      <c r="D449" s="454"/>
      <c r="E449" s="439"/>
      <c r="F449" s="439"/>
      <c r="G449" s="454"/>
      <c r="H449" s="454"/>
      <c r="I449" s="456"/>
      <c r="J449" s="459"/>
      <c r="K449" s="458"/>
      <c r="L449" s="454"/>
      <c r="M449" s="453"/>
      <c r="N449" s="413"/>
      <c r="O449" s="413"/>
      <c r="P449" s="413"/>
      <c r="Q449" s="413"/>
      <c r="R449" s="413"/>
      <c r="S449" s="413"/>
      <c r="T449" s="413"/>
      <c r="U449" s="413"/>
      <c r="V449" s="413"/>
      <c r="W449" s="413"/>
      <c r="X449" s="413"/>
      <c r="Y449" s="413"/>
      <c r="Z449" s="413"/>
    </row>
    <row r="450">
      <c r="A450" s="452"/>
      <c r="B450" s="439"/>
      <c r="C450" s="454"/>
      <c r="D450" s="454"/>
      <c r="E450" s="439"/>
      <c r="F450" s="439"/>
      <c r="G450" s="454"/>
      <c r="H450" s="454"/>
      <c r="I450" s="456"/>
      <c r="J450" s="459"/>
      <c r="K450" s="458"/>
      <c r="L450" s="454"/>
      <c r="M450" s="453"/>
      <c r="N450" s="413"/>
      <c r="O450" s="413"/>
      <c r="P450" s="413"/>
      <c r="Q450" s="413"/>
      <c r="R450" s="413"/>
      <c r="S450" s="413"/>
      <c r="T450" s="413"/>
      <c r="U450" s="413"/>
      <c r="V450" s="413"/>
      <c r="W450" s="413"/>
      <c r="X450" s="413"/>
      <c r="Y450" s="413"/>
      <c r="Z450" s="413"/>
    </row>
    <row r="451">
      <c r="A451" s="452"/>
      <c r="B451" s="439"/>
      <c r="C451" s="454"/>
      <c r="D451" s="454"/>
      <c r="E451" s="439"/>
      <c r="F451" s="439"/>
      <c r="G451" s="454"/>
      <c r="H451" s="454"/>
      <c r="I451" s="456"/>
      <c r="J451" s="459"/>
      <c r="K451" s="458"/>
      <c r="L451" s="454"/>
      <c r="M451" s="453"/>
      <c r="N451" s="413"/>
      <c r="O451" s="413"/>
      <c r="P451" s="413"/>
      <c r="Q451" s="413"/>
      <c r="R451" s="413"/>
      <c r="S451" s="413"/>
      <c r="T451" s="413"/>
      <c r="U451" s="413"/>
      <c r="V451" s="413"/>
      <c r="W451" s="413"/>
      <c r="X451" s="413"/>
      <c r="Y451" s="413"/>
      <c r="Z451" s="413"/>
    </row>
    <row r="452">
      <c r="A452" s="452"/>
      <c r="B452" s="439"/>
      <c r="C452" s="454"/>
      <c r="D452" s="454"/>
      <c r="E452" s="439"/>
      <c r="F452" s="439"/>
      <c r="G452" s="454"/>
      <c r="H452" s="454"/>
      <c r="I452" s="456"/>
      <c r="J452" s="459"/>
      <c r="K452" s="458"/>
      <c r="L452" s="454"/>
      <c r="M452" s="453"/>
      <c r="N452" s="413"/>
      <c r="O452" s="413"/>
      <c r="P452" s="413"/>
      <c r="Q452" s="413"/>
      <c r="R452" s="413"/>
      <c r="S452" s="413"/>
      <c r="T452" s="413"/>
      <c r="U452" s="413"/>
      <c r="V452" s="413"/>
      <c r="W452" s="413"/>
      <c r="X452" s="413"/>
      <c r="Y452" s="413"/>
      <c r="Z452" s="413"/>
    </row>
    <row r="453">
      <c r="A453" s="452"/>
      <c r="B453" s="439"/>
      <c r="C453" s="454"/>
      <c r="D453" s="454"/>
      <c r="E453" s="439"/>
      <c r="F453" s="439"/>
      <c r="G453" s="454"/>
      <c r="H453" s="454"/>
      <c r="I453" s="456"/>
      <c r="J453" s="459"/>
      <c r="K453" s="458"/>
      <c r="L453" s="454"/>
      <c r="M453" s="453"/>
      <c r="N453" s="413"/>
      <c r="O453" s="413"/>
      <c r="P453" s="413"/>
      <c r="Q453" s="413"/>
      <c r="R453" s="413"/>
      <c r="S453" s="413"/>
      <c r="T453" s="413"/>
      <c r="U453" s="413"/>
      <c r="V453" s="413"/>
      <c r="W453" s="413"/>
      <c r="X453" s="413"/>
      <c r="Y453" s="413"/>
      <c r="Z453" s="413"/>
    </row>
    <row r="454">
      <c r="A454" s="452"/>
      <c r="B454" s="439"/>
      <c r="C454" s="454"/>
      <c r="D454" s="454"/>
      <c r="E454" s="439"/>
      <c r="F454" s="439"/>
      <c r="G454" s="454"/>
      <c r="H454" s="454"/>
      <c r="I454" s="456"/>
      <c r="J454" s="459"/>
      <c r="K454" s="458"/>
      <c r="L454" s="454"/>
      <c r="M454" s="453"/>
      <c r="N454" s="413"/>
      <c r="O454" s="413"/>
      <c r="P454" s="413"/>
      <c r="Q454" s="413"/>
      <c r="R454" s="413"/>
      <c r="S454" s="413"/>
      <c r="T454" s="413"/>
      <c r="U454" s="413"/>
      <c r="V454" s="413"/>
      <c r="W454" s="413"/>
      <c r="X454" s="413"/>
      <c r="Y454" s="413"/>
      <c r="Z454" s="413"/>
    </row>
    <row r="455">
      <c r="A455" s="452"/>
      <c r="B455" s="439"/>
      <c r="C455" s="454"/>
      <c r="D455" s="454"/>
      <c r="E455" s="439"/>
      <c r="F455" s="439"/>
      <c r="G455" s="454"/>
      <c r="H455" s="454"/>
      <c r="I455" s="456"/>
      <c r="J455" s="459"/>
      <c r="K455" s="458"/>
      <c r="L455" s="454"/>
      <c r="M455" s="453"/>
      <c r="N455" s="413"/>
      <c r="O455" s="413"/>
      <c r="P455" s="413"/>
      <c r="Q455" s="413"/>
      <c r="R455" s="413"/>
      <c r="S455" s="413"/>
      <c r="T455" s="413"/>
      <c r="U455" s="413"/>
      <c r="V455" s="413"/>
      <c r="W455" s="413"/>
      <c r="X455" s="413"/>
      <c r="Y455" s="413"/>
      <c r="Z455" s="413"/>
    </row>
    <row r="456">
      <c r="A456" s="452"/>
      <c r="B456" s="439"/>
      <c r="C456" s="454"/>
      <c r="D456" s="454"/>
      <c r="E456" s="439"/>
      <c r="F456" s="439"/>
      <c r="G456" s="454"/>
      <c r="H456" s="454"/>
      <c r="I456" s="456"/>
      <c r="J456" s="459"/>
      <c r="K456" s="458"/>
      <c r="L456" s="454"/>
      <c r="M456" s="453"/>
      <c r="N456" s="413"/>
      <c r="O456" s="413"/>
      <c r="P456" s="413"/>
      <c r="Q456" s="413"/>
      <c r="R456" s="413"/>
      <c r="S456" s="413"/>
      <c r="T456" s="413"/>
      <c r="U456" s="413"/>
      <c r="V456" s="413"/>
      <c r="W456" s="413"/>
      <c r="X456" s="413"/>
      <c r="Y456" s="413"/>
      <c r="Z456" s="413"/>
    </row>
    <row r="457">
      <c r="A457" s="452"/>
      <c r="B457" s="439"/>
      <c r="C457" s="454"/>
      <c r="D457" s="454"/>
      <c r="E457" s="439"/>
      <c r="F457" s="439"/>
      <c r="G457" s="454"/>
      <c r="H457" s="454"/>
      <c r="I457" s="456"/>
      <c r="J457" s="459"/>
      <c r="K457" s="458"/>
      <c r="L457" s="454"/>
      <c r="M457" s="453"/>
      <c r="N457" s="413"/>
      <c r="O457" s="413"/>
      <c r="P457" s="413"/>
      <c r="Q457" s="413"/>
      <c r="R457" s="413"/>
      <c r="S457" s="413"/>
      <c r="T457" s="413"/>
      <c r="U457" s="413"/>
      <c r="V457" s="413"/>
      <c r="W457" s="413"/>
      <c r="X457" s="413"/>
      <c r="Y457" s="413"/>
      <c r="Z457" s="413"/>
    </row>
    <row r="458">
      <c r="A458" s="452"/>
      <c r="B458" s="439"/>
      <c r="C458" s="454"/>
      <c r="D458" s="454"/>
      <c r="E458" s="439"/>
      <c r="F458" s="439"/>
      <c r="G458" s="454"/>
      <c r="H458" s="454"/>
      <c r="I458" s="456"/>
      <c r="J458" s="459"/>
      <c r="K458" s="458"/>
      <c r="L458" s="454"/>
      <c r="M458" s="453"/>
      <c r="N458" s="413"/>
      <c r="O458" s="413"/>
      <c r="P458" s="413"/>
      <c r="Q458" s="413"/>
      <c r="R458" s="413"/>
      <c r="S458" s="413"/>
      <c r="T458" s="413"/>
      <c r="U458" s="413"/>
      <c r="V458" s="413"/>
      <c r="W458" s="413"/>
      <c r="X458" s="413"/>
      <c r="Y458" s="413"/>
      <c r="Z458" s="413"/>
    </row>
    <row r="459">
      <c r="A459" s="452"/>
      <c r="B459" s="439"/>
      <c r="C459" s="454"/>
      <c r="D459" s="454"/>
      <c r="E459" s="439"/>
      <c r="F459" s="439"/>
      <c r="G459" s="454"/>
      <c r="H459" s="454"/>
      <c r="I459" s="456"/>
      <c r="J459" s="459"/>
      <c r="K459" s="458"/>
      <c r="L459" s="454"/>
      <c r="M459" s="453"/>
      <c r="N459" s="413"/>
      <c r="O459" s="413"/>
      <c r="P459" s="413"/>
      <c r="Q459" s="413"/>
      <c r="R459" s="413"/>
      <c r="S459" s="413"/>
      <c r="T459" s="413"/>
      <c r="U459" s="413"/>
      <c r="V459" s="413"/>
      <c r="W459" s="413"/>
      <c r="X459" s="413"/>
      <c r="Y459" s="413"/>
      <c r="Z459" s="413"/>
    </row>
    <row r="460">
      <c r="A460" s="452"/>
      <c r="B460" s="439"/>
      <c r="C460" s="454"/>
      <c r="D460" s="454"/>
      <c r="E460" s="439"/>
      <c r="F460" s="439"/>
      <c r="G460" s="454"/>
      <c r="H460" s="454"/>
      <c r="I460" s="456"/>
      <c r="J460" s="459"/>
      <c r="K460" s="458"/>
      <c r="L460" s="454"/>
      <c r="M460" s="453"/>
      <c r="N460" s="413"/>
      <c r="O460" s="413"/>
      <c r="P460" s="413"/>
      <c r="Q460" s="413"/>
      <c r="R460" s="413"/>
      <c r="S460" s="413"/>
      <c r="T460" s="413"/>
      <c r="U460" s="413"/>
      <c r="V460" s="413"/>
      <c r="W460" s="413"/>
      <c r="X460" s="413"/>
      <c r="Y460" s="413"/>
      <c r="Z460" s="413"/>
    </row>
    <row r="461">
      <c r="A461" s="452"/>
      <c r="B461" s="439"/>
      <c r="C461" s="454"/>
      <c r="D461" s="454"/>
      <c r="E461" s="439"/>
      <c r="F461" s="439"/>
      <c r="G461" s="454"/>
      <c r="H461" s="454"/>
      <c r="I461" s="456"/>
      <c r="J461" s="459"/>
      <c r="K461" s="458"/>
      <c r="L461" s="454"/>
      <c r="M461" s="453"/>
      <c r="N461" s="413"/>
      <c r="O461" s="413"/>
      <c r="P461" s="413"/>
      <c r="Q461" s="413"/>
      <c r="R461" s="413"/>
      <c r="S461" s="413"/>
      <c r="T461" s="413"/>
      <c r="U461" s="413"/>
      <c r="V461" s="413"/>
      <c r="W461" s="413"/>
      <c r="X461" s="413"/>
      <c r="Y461" s="413"/>
      <c r="Z461" s="413"/>
    </row>
    <row r="462">
      <c r="A462" s="452"/>
      <c r="B462" s="439"/>
      <c r="C462" s="454"/>
      <c r="D462" s="454"/>
      <c r="E462" s="439"/>
      <c r="F462" s="439"/>
      <c r="G462" s="454"/>
      <c r="H462" s="454"/>
      <c r="I462" s="456"/>
      <c r="J462" s="459"/>
      <c r="K462" s="458"/>
      <c r="L462" s="454"/>
      <c r="M462" s="453"/>
      <c r="N462" s="413"/>
      <c r="O462" s="413"/>
      <c r="P462" s="413"/>
      <c r="Q462" s="413"/>
      <c r="R462" s="413"/>
      <c r="S462" s="413"/>
      <c r="T462" s="413"/>
      <c r="U462" s="413"/>
      <c r="V462" s="413"/>
      <c r="W462" s="413"/>
      <c r="X462" s="413"/>
      <c r="Y462" s="413"/>
      <c r="Z462" s="413"/>
    </row>
    <row r="463">
      <c r="A463" s="452"/>
      <c r="B463" s="439"/>
      <c r="C463" s="454"/>
      <c r="D463" s="454"/>
      <c r="E463" s="439"/>
      <c r="F463" s="439"/>
      <c r="G463" s="454"/>
      <c r="H463" s="454"/>
      <c r="I463" s="456"/>
      <c r="J463" s="459"/>
      <c r="K463" s="458"/>
      <c r="L463" s="454"/>
      <c r="M463" s="453"/>
      <c r="N463" s="413"/>
      <c r="O463" s="413"/>
      <c r="P463" s="413"/>
      <c r="Q463" s="413"/>
      <c r="R463" s="413"/>
      <c r="S463" s="413"/>
      <c r="T463" s="413"/>
      <c r="U463" s="413"/>
      <c r="V463" s="413"/>
      <c r="W463" s="413"/>
      <c r="X463" s="413"/>
      <c r="Y463" s="413"/>
      <c r="Z463" s="413"/>
    </row>
    <row r="464">
      <c r="A464" s="452"/>
      <c r="B464" s="439"/>
      <c r="C464" s="454"/>
      <c r="D464" s="454"/>
      <c r="E464" s="439"/>
      <c r="F464" s="439"/>
      <c r="G464" s="454"/>
      <c r="H464" s="454"/>
      <c r="I464" s="456"/>
      <c r="J464" s="459"/>
      <c r="K464" s="458"/>
      <c r="L464" s="454"/>
      <c r="M464" s="453"/>
      <c r="N464" s="413"/>
      <c r="O464" s="413"/>
      <c r="P464" s="413"/>
      <c r="Q464" s="413"/>
      <c r="R464" s="413"/>
      <c r="S464" s="413"/>
      <c r="T464" s="413"/>
      <c r="U464" s="413"/>
      <c r="V464" s="413"/>
      <c r="W464" s="413"/>
      <c r="X464" s="413"/>
      <c r="Y464" s="413"/>
      <c r="Z464" s="413"/>
    </row>
    <row r="465">
      <c r="A465" s="452"/>
      <c r="B465" s="439"/>
      <c r="C465" s="454"/>
      <c r="D465" s="454"/>
      <c r="E465" s="439"/>
      <c r="F465" s="439"/>
      <c r="G465" s="454"/>
      <c r="H465" s="454"/>
      <c r="I465" s="456"/>
      <c r="J465" s="459"/>
      <c r="K465" s="458"/>
      <c r="L465" s="454"/>
      <c r="M465" s="453"/>
      <c r="N465" s="413"/>
      <c r="O465" s="413"/>
      <c r="P465" s="413"/>
      <c r="Q465" s="413"/>
      <c r="R465" s="413"/>
      <c r="S465" s="413"/>
      <c r="T465" s="413"/>
      <c r="U465" s="413"/>
      <c r="V465" s="413"/>
      <c r="W465" s="413"/>
      <c r="X465" s="413"/>
      <c r="Y465" s="413"/>
      <c r="Z465" s="413"/>
    </row>
    <row r="466">
      <c r="A466" s="452"/>
      <c r="B466" s="439"/>
      <c r="C466" s="454"/>
      <c r="D466" s="454"/>
      <c r="E466" s="439"/>
      <c r="F466" s="439"/>
      <c r="G466" s="454"/>
      <c r="H466" s="454"/>
      <c r="I466" s="456"/>
      <c r="J466" s="459"/>
      <c r="K466" s="458"/>
      <c r="L466" s="454"/>
      <c r="M466" s="453"/>
      <c r="N466" s="413"/>
      <c r="O466" s="413"/>
      <c r="P466" s="413"/>
      <c r="Q466" s="413"/>
      <c r="R466" s="413"/>
      <c r="S466" s="413"/>
      <c r="T466" s="413"/>
      <c r="U466" s="413"/>
      <c r="V466" s="413"/>
      <c r="W466" s="413"/>
      <c r="X466" s="413"/>
      <c r="Y466" s="413"/>
      <c r="Z466" s="413"/>
    </row>
    <row r="467">
      <c r="A467" s="452"/>
      <c r="B467" s="439"/>
      <c r="C467" s="454"/>
      <c r="D467" s="454"/>
      <c r="E467" s="439"/>
      <c r="F467" s="439"/>
      <c r="G467" s="454"/>
      <c r="H467" s="454"/>
      <c r="I467" s="456"/>
      <c r="J467" s="459"/>
      <c r="K467" s="458"/>
      <c r="L467" s="454"/>
      <c r="M467" s="453"/>
      <c r="N467" s="413"/>
      <c r="O467" s="413"/>
      <c r="P467" s="413"/>
      <c r="Q467" s="413"/>
      <c r="R467" s="413"/>
      <c r="S467" s="413"/>
      <c r="T467" s="413"/>
      <c r="U467" s="413"/>
      <c r="V467" s="413"/>
      <c r="W467" s="413"/>
      <c r="X467" s="413"/>
      <c r="Y467" s="413"/>
      <c r="Z467" s="413"/>
    </row>
    <row r="468">
      <c r="A468" s="452"/>
      <c r="B468" s="439"/>
      <c r="C468" s="454"/>
      <c r="D468" s="454"/>
      <c r="E468" s="439"/>
      <c r="F468" s="439"/>
      <c r="G468" s="454"/>
      <c r="H468" s="454"/>
      <c r="I468" s="456"/>
      <c r="J468" s="459"/>
      <c r="K468" s="458"/>
      <c r="L468" s="454"/>
      <c r="M468" s="453"/>
      <c r="N468" s="413"/>
      <c r="O468" s="413"/>
      <c r="P468" s="413"/>
      <c r="Q468" s="413"/>
      <c r="R468" s="413"/>
      <c r="S468" s="413"/>
      <c r="T468" s="413"/>
      <c r="U468" s="413"/>
      <c r="V468" s="413"/>
      <c r="W468" s="413"/>
      <c r="X468" s="413"/>
      <c r="Y468" s="413"/>
      <c r="Z468" s="413"/>
    </row>
    <row r="469">
      <c r="A469" s="452"/>
      <c r="B469" s="439"/>
      <c r="C469" s="454"/>
      <c r="D469" s="454"/>
      <c r="E469" s="439"/>
      <c r="F469" s="439"/>
      <c r="G469" s="454"/>
      <c r="H469" s="454"/>
      <c r="I469" s="456"/>
      <c r="J469" s="459"/>
      <c r="K469" s="458"/>
      <c r="L469" s="454"/>
      <c r="M469" s="453"/>
      <c r="N469" s="413"/>
      <c r="O469" s="413"/>
      <c r="P469" s="413"/>
      <c r="Q469" s="413"/>
      <c r="R469" s="413"/>
      <c r="S469" s="413"/>
      <c r="T469" s="413"/>
      <c r="U469" s="413"/>
      <c r="V469" s="413"/>
      <c r="W469" s="413"/>
      <c r="X469" s="413"/>
      <c r="Y469" s="413"/>
      <c r="Z469" s="413"/>
    </row>
    <row r="470">
      <c r="A470" s="452"/>
      <c r="B470" s="439"/>
      <c r="C470" s="454"/>
      <c r="D470" s="454"/>
      <c r="E470" s="439"/>
      <c r="F470" s="439"/>
      <c r="G470" s="454"/>
      <c r="H470" s="454"/>
      <c r="I470" s="456"/>
      <c r="J470" s="459"/>
      <c r="K470" s="458"/>
      <c r="L470" s="454"/>
      <c r="M470" s="453"/>
      <c r="N470" s="413"/>
      <c r="O470" s="413"/>
      <c r="P470" s="413"/>
      <c r="Q470" s="413"/>
      <c r="R470" s="413"/>
      <c r="S470" s="413"/>
      <c r="T470" s="413"/>
      <c r="U470" s="413"/>
      <c r="V470" s="413"/>
      <c r="W470" s="413"/>
      <c r="X470" s="413"/>
      <c r="Y470" s="413"/>
      <c r="Z470" s="413"/>
    </row>
    <row r="471">
      <c r="A471" s="452"/>
      <c r="B471" s="439"/>
      <c r="C471" s="454"/>
      <c r="D471" s="454"/>
      <c r="E471" s="439"/>
      <c r="F471" s="439"/>
      <c r="G471" s="454"/>
      <c r="H471" s="454"/>
      <c r="I471" s="456"/>
      <c r="J471" s="459"/>
      <c r="K471" s="458"/>
      <c r="L471" s="454"/>
      <c r="M471" s="453"/>
      <c r="N471" s="413"/>
      <c r="O471" s="413"/>
      <c r="P471" s="413"/>
      <c r="Q471" s="413"/>
      <c r="R471" s="413"/>
      <c r="S471" s="413"/>
      <c r="T471" s="413"/>
      <c r="U471" s="413"/>
      <c r="V471" s="413"/>
      <c r="W471" s="413"/>
      <c r="X471" s="413"/>
      <c r="Y471" s="413"/>
      <c r="Z471" s="413"/>
    </row>
    <row r="472">
      <c r="A472" s="452"/>
      <c r="B472" s="439"/>
      <c r="C472" s="454"/>
      <c r="D472" s="454"/>
      <c r="E472" s="439"/>
      <c r="F472" s="439"/>
      <c r="G472" s="454"/>
      <c r="H472" s="454"/>
      <c r="I472" s="456"/>
      <c r="J472" s="459"/>
      <c r="K472" s="458"/>
      <c r="L472" s="454"/>
      <c r="M472" s="453"/>
      <c r="N472" s="413"/>
      <c r="O472" s="413"/>
      <c r="P472" s="413"/>
      <c r="Q472" s="413"/>
      <c r="R472" s="413"/>
      <c r="S472" s="413"/>
      <c r="T472" s="413"/>
      <c r="U472" s="413"/>
      <c r="V472" s="413"/>
      <c r="W472" s="413"/>
      <c r="X472" s="413"/>
      <c r="Y472" s="413"/>
      <c r="Z472" s="413"/>
    </row>
    <row r="473">
      <c r="A473" s="452"/>
      <c r="B473" s="439"/>
      <c r="C473" s="454"/>
      <c r="D473" s="454"/>
      <c r="E473" s="439"/>
      <c r="F473" s="439"/>
      <c r="G473" s="454"/>
      <c r="H473" s="454"/>
      <c r="I473" s="456"/>
      <c r="J473" s="459"/>
      <c r="K473" s="458"/>
      <c r="L473" s="454"/>
      <c r="M473" s="453"/>
      <c r="N473" s="413"/>
      <c r="O473" s="413"/>
      <c r="P473" s="413"/>
      <c r="Q473" s="413"/>
      <c r="R473" s="413"/>
      <c r="S473" s="413"/>
      <c r="T473" s="413"/>
      <c r="U473" s="413"/>
      <c r="V473" s="413"/>
      <c r="W473" s="413"/>
      <c r="X473" s="413"/>
      <c r="Y473" s="413"/>
      <c r="Z473" s="413"/>
    </row>
    <row r="474">
      <c r="A474" s="452"/>
      <c r="B474" s="439"/>
      <c r="C474" s="454"/>
      <c r="D474" s="454"/>
      <c r="E474" s="439"/>
      <c r="F474" s="439"/>
      <c r="G474" s="454"/>
      <c r="H474" s="454"/>
      <c r="I474" s="456"/>
      <c r="J474" s="459"/>
      <c r="K474" s="458"/>
      <c r="L474" s="454"/>
      <c r="M474" s="453"/>
      <c r="N474" s="413"/>
      <c r="O474" s="413"/>
      <c r="P474" s="413"/>
      <c r="Q474" s="413"/>
      <c r="R474" s="413"/>
      <c r="S474" s="413"/>
      <c r="T474" s="413"/>
      <c r="U474" s="413"/>
      <c r="V474" s="413"/>
      <c r="W474" s="413"/>
      <c r="X474" s="413"/>
      <c r="Y474" s="413"/>
      <c r="Z474" s="413"/>
    </row>
    <row r="475">
      <c r="A475" s="452"/>
      <c r="B475" s="439"/>
      <c r="C475" s="454"/>
      <c r="D475" s="454"/>
      <c r="E475" s="439"/>
      <c r="F475" s="439"/>
      <c r="G475" s="454"/>
      <c r="H475" s="454"/>
      <c r="I475" s="456"/>
      <c r="J475" s="459"/>
      <c r="K475" s="458"/>
      <c r="L475" s="454"/>
      <c r="M475" s="453"/>
      <c r="N475" s="413"/>
      <c r="O475" s="413"/>
      <c r="P475" s="413"/>
      <c r="Q475" s="413"/>
      <c r="R475" s="413"/>
      <c r="S475" s="413"/>
      <c r="T475" s="413"/>
      <c r="U475" s="413"/>
      <c r="V475" s="413"/>
      <c r="W475" s="413"/>
      <c r="X475" s="413"/>
      <c r="Y475" s="413"/>
      <c r="Z475" s="413"/>
    </row>
    <row r="476">
      <c r="A476" s="452"/>
      <c r="B476" s="439"/>
      <c r="C476" s="454"/>
      <c r="D476" s="454"/>
      <c r="E476" s="439"/>
      <c r="F476" s="439"/>
      <c r="G476" s="454"/>
      <c r="H476" s="454"/>
      <c r="I476" s="456"/>
      <c r="J476" s="459"/>
      <c r="K476" s="458"/>
      <c r="L476" s="454"/>
      <c r="M476" s="453"/>
      <c r="N476" s="413"/>
      <c r="O476" s="413"/>
      <c r="P476" s="413"/>
      <c r="Q476" s="413"/>
      <c r="R476" s="413"/>
      <c r="S476" s="413"/>
      <c r="T476" s="413"/>
      <c r="U476" s="413"/>
      <c r="V476" s="413"/>
      <c r="W476" s="413"/>
      <c r="X476" s="413"/>
      <c r="Y476" s="413"/>
      <c r="Z476" s="413"/>
    </row>
    <row r="477">
      <c r="A477" s="452"/>
      <c r="B477" s="439"/>
      <c r="C477" s="454"/>
      <c r="D477" s="454"/>
      <c r="E477" s="439"/>
      <c r="F477" s="439"/>
      <c r="G477" s="454"/>
      <c r="H477" s="454"/>
      <c r="I477" s="456"/>
      <c r="J477" s="459"/>
      <c r="K477" s="458"/>
      <c r="L477" s="454"/>
      <c r="M477" s="453"/>
      <c r="N477" s="413"/>
      <c r="O477" s="413"/>
      <c r="P477" s="413"/>
      <c r="Q477" s="413"/>
      <c r="R477" s="413"/>
      <c r="S477" s="413"/>
      <c r="T477" s="413"/>
      <c r="U477" s="413"/>
      <c r="V477" s="413"/>
      <c r="W477" s="413"/>
      <c r="X477" s="413"/>
      <c r="Y477" s="413"/>
      <c r="Z477" s="413"/>
    </row>
    <row r="478">
      <c r="A478" s="452"/>
      <c r="B478" s="439"/>
      <c r="C478" s="454"/>
      <c r="D478" s="454"/>
      <c r="E478" s="439"/>
      <c r="F478" s="439"/>
      <c r="G478" s="454"/>
      <c r="H478" s="454"/>
      <c r="I478" s="456"/>
      <c r="J478" s="459"/>
      <c r="K478" s="458"/>
      <c r="L478" s="454"/>
      <c r="M478" s="453"/>
      <c r="N478" s="413"/>
      <c r="O478" s="413"/>
      <c r="P478" s="413"/>
      <c r="Q478" s="413"/>
      <c r="R478" s="413"/>
      <c r="S478" s="413"/>
      <c r="T478" s="413"/>
      <c r="U478" s="413"/>
      <c r="V478" s="413"/>
      <c r="W478" s="413"/>
      <c r="X478" s="413"/>
      <c r="Y478" s="413"/>
      <c r="Z478" s="413"/>
    </row>
    <row r="479">
      <c r="A479" s="452"/>
      <c r="B479" s="439"/>
      <c r="C479" s="454"/>
      <c r="D479" s="454"/>
      <c r="E479" s="439"/>
      <c r="F479" s="439"/>
      <c r="G479" s="454"/>
      <c r="H479" s="454"/>
      <c r="I479" s="456"/>
      <c r="J479" s="459"/>
      <c r="K479" s="458"/>
      <c r="L479" s="454"/>
      <c r="M479" s="453"/>
      <c r="N479" s="413"/>
      <c r="O479" s="413"/>
      <c r="P479" s="413"/>
      <c r="Q479" s="413"/>
      <c r="R479" s="413"/>
      <c r="S479" s="413"/>
      <c r="T479" s="413"/>
      <c r="U479" s="413"/>
      <c r="V479" s="413"/>
      <c r="W479" s="413"/>
      <c r="X479" s="413"/>
      <c r="Y479" s="413"/>
      <c r="Z479" s="413"/>
    </row>
    <row r="480">
      <c r="A480" s="452"/>
      <c r="B480" s="439"/>
      <c r="C480" s="454"/>
      <c r="D480" s="454"/>
      <c r="E480" s="439"/>
      <c r="F480" s="439"/>
      <c r="G480" s="454"/>
      <c r="H480" s="454"/>
      <c r="I480" s="456"/>
      <c r="J480" s="459"/>
      <c r="K480" s="458"/>
      <c r="L480" s="454"/>
      <c r="M480" s="453"/>
      <c r="N480" s="413"/>
      <c r="O480" s="413"/>
      <c r="P480" s="413"/>
      <c r="Q480" s="413"/>
      <c r="R480" s="413"/>
      <c r="S480" s="413"/>
      <c r="T480" s="413"/>
      <c r="U480" s="413"/>
      <c r="V480" s="413"/>
      <c r="W480" s="413"/>
      <c r="X480" s="413"/>
      <c r="Y480" s="413"/>
      <c r="Z480" s="413"/>
    </row>
    <row r="481">
      <c r="A481" s="452"/>
      <c r="B481" s="439"/>
      <c r="C481" s="454"/>
      <c r="D481" s="454"/>
      <c r="E481" s="439"/>
      <c r="F481" s="439"/>
      <c r="G481" s="454"/>
      <c r="H481" s="454"/>
      <c r="I481" s="456"/>
      <c r="J481" s="459"/>
      <c r="K481" s="458"/>
      <c r="L481" s="454"/>
      <c r="M481" s="453"/>
      <c r="N481" s="413"/>
      <c r="O481" s="413"/>
      <c r="P481" s="413"/>
      <c r="Q481" s="413"/>
      <c r="R481" s="413"/>
      <c r="S481" s="413"/>
      <c r="T481" s="413"/>
      <c r="U481" s="413"/>
      <c r="V481" s="413"/>
      <c r="W481" s="413"/>
      <c r="X481" s="413"/>
      <c r="Y481" s="413"/>
      <c r="Z481" s="413"/>
    </row>
    <row r="482">
      <c r="A482" s="452"/>
      <c r="B482" s="439"/>
      <c r="C482" s="454"/>
      <c r="D482" s="454"/>
      <c r="E482" s="439"/>
      <c r="F482" s="439"/>
      <c r="G482" s="454"/>
      <c r="H482" s="454"/>
      <c r="I482" s="456"/>
      <c r="J482" s="459"/>
      <c r="K482" s="458"/>
      <c r="L482" s="454"/>
      <c r="M482" s="453"/>
      <c r="N482" s="413"/>
      <c r="O482" s="413"/>
      <c r="P482" s="413"/>
      <c r="Q482" s="413"/>
      <c r="R482" s="413"/>
      <c r="S482" s="413"/>
      <c r="T482" s="413"/>
      <c r="U482" s="413"/>
      <c r="V482" s="413"/>
      <c r="W482" s="413"/>
      <c r="X482" s="413"/>
      <c r="Y482" s="413"/>
      <c r="Z482" s="413"/>
    </row>
    <row r="483">
      <c r="A483" s="452"/>
      <c r="B483" s="439"/>
      <c r="C483" s="454"/>
      <c r="D483" s="454"/>
      <c r="E483" s="439"/>
      <c r="F483" s="439"/>
      <c r="G483" s="454"/>
      <c r="H483" s="454"/>
      <c r="I483" s="456"/>
      <c r="J483" s="459"/>
      <c r="K483" s="458"/>
      <c r="L483" s="454"/>
      <c r="M483" s="453"/>
      <c r="N483" s="413"/>
      <c r="O483" s="413"/>
      <c r="P483" s="413"/>
      <c r="Q483" s="413"/>
      <c r="R483" s="413"/>
      <c r="S483" s="413"/>
      <c r="T483" s="413"/>
      <c r="U483" s="413"/>
      <c r="V483" s="413"/>
      <c r="W483" s="413"/>
      <c r="X483" s="413"/>
      <c r="Y483" s="413"/>
      <c r="Z483" s="413"/>
    </row>
    <row r="484">
      <c r="A484" s="452"/>
      <c r="B484" s="439"/>
      <c r="C484" s="454"/>
      <c r="D484" s="454"/>
      <c r="E484" s="439"/>
      <c r="F484" s="439"/>
      <c r="G484" s="454"/>
      <c r="H484" s="454"/>
      <c r="I484" s="456"/>
      <c r="J484" s="459"/>
      <c r="K484" s="458"/>
      <c r="L484" s="454"/>
      <c r="M484" s="453"/>
      <c r="N484" s="413"/>
      <c r="O484" s="413"/>
      <c r="P484" s="413"/>
      <c r="Q484" s="413"/>
      <c r="R484" s="413"/>
      <c r="S484" s="413"/>
      <c r="T484" s="413"/>
      <c r="U484" s="413"/>
      <c r="V484" s="413"/>
      <c r="W484" s="413"/>
      <c r="X484" s="413"/>
      <c r="Y484" s="413"/>
      <c r="Z484" s="413"/>
    </row>
    <row r="485">
      <c r="A485" s="452"/>
      <c r="B485" s="439"/>
      <c r="C485" s="454"/>
      <c r="D485" s="454"/>
      <c r="E485" s="439"/>
      <c r="F485" s="439"/>
      <c r="G485" s="454"/>
      <c r="H485" s="454"/>
      <c r="I485" s="456"/>
      <c r="J485" s="459"/>
      <c r="K485" s="458"/>
      <c r="L485" s="454"/>
      <c r="M485" s="453"/>
      <c r="N485" s="413"/>
      <c r="O485" s="413"/>
      <c r="P485" s="413"/>
      <c r="Q485" s="413"/>
      <c r="R485" s="413"/>
      <c r="S485" s="413"/>
      <c r="T485" s="413"/>
      <c r="U485" s="413"/>
      <c r="V485" s="413"/>
      <c r="W485" s="413"/>
      <c r="X485" s="413"/>
      <c r="Y485" s="413"/>
      <c r="Z485" s="413"/>
    </row>
    <row r="486">
      <c r="A486" s="452"/>
      <c r="B486" s="439"/>
      <c r="C486" s="454"/>
      <c r="D486" s="454"/>
      <c r="E486" s="439"/>
      <c r="F486" s="439"/>
      <c r="G486" s="454"/>
      <c r="H486" s="454"/>
      <c r="I486" s="456"/>
      <c r="J486" s="459"/>
      <c r="K486" s="458"/>
      <c r="L486" s="454"/>
      <c r="M486" s="453"/>
      <c r="N486" s="413"/>
      <c r="O486" s="413"/>
      <c r="P486" s="413"/>
      <c r="Q486" s="413"/>
      <c r="R486" s="413"/>
      <c r="S486" s="413"/>
      <c r="T486" s="413"/>
      <c r="U486" s="413"/>
      <c r="V486" s="413"/>
      <c r="W486" s="413"/>
      <c r="X486" s="413"/>
      <c r="Y486" s="413"/>
      <c r="Z486" s="413"/>
    </row>
    <row r="487">
      <c r="A487" s="452"/>
      <c r="B487" s="439"/>
      <c r="C487" s="454"/>
      <c r="D487" s="454"/>
      <c r="E487" s="439"/>
      <c r="F487" s="439"/>
      <c r="G487" s="454"/>
      <c r="H487" s="454"/>
      <c r="I487" s="456"/>
      <c r="J487" s="459"/>
      <c r="K487" s="458"/>
      <c r="L487" s="454"/>
      <c r="M487" s="453"/>
      <c r="N487" s="413"/>
      <c r="O487" s="413"/>
      <c r="P487" s="413"/>
      <c r="Q487" s="413"/>
      <c r="R487" s="413"/>
      <c r="S487" s="413"/>
      <c r="T487" s="413"/>
      <c r="U487" s="413"/>
      <c r="V487" s="413"/>
      <c r="W487" s="413"/>
      <c r="X487" s="413"/>
      <c r="Y487" s="413"/>
      <c r="Z487" s="413"/>
    </row>
    <row r="488">
      <c r="A488" s="452"/>
      <c r="B488" s="439"/>
      <c r="C488" s="454"/>
      <c r="D488" s="454"/>
      <c r="E488" s="439"/>
      <c r="F488" s="439"/>
      <c r="G488" s="454"/>
      <c r="H488" s="454"/>
      <c r="I488" s="456"/>
      <c r="J488" s="459"/>
      <c r="K488" s="458"/>
      <c r="L488" s="454"/>
      <c r="M488" s="453"/>
      <c r="N488" s="413"/>
      <c r="O488" s="413"/>
      <c r="P488" s="413"/>
      <c r="Q488" s="413"/>
      <c r="R488" s="413"/>
      <c r="S488" s="413"/>
      <c r="T488" s="413"/>
      <c r="U488" s="413"/>
      <c r="V488" s="413"/>
      <c r="W488" s="413"/>
      <c r="X488" s="413"/>
      <c r="Y488" s="413"/>
      <c r="Z488" s="413"/>
    </row>
    <row r="489">
      <c r="A489" s="452"/>
      <c r="B489" s="439"/>
      <c r="C489" s="454"/>
      <c r="D489" s="454"/>
      <c r="E489" s="439"/>
      <c r="F489" s="439"/>
      <c r="G489" s="454"/>
      <c r="H489" s="454"/>
      <c r="I489" s="456"/>
      <c r="J489" s="459"/>
      <c r="K489" s="458"/>
      <c r="L489" s="454"/>
      <c r="M489" s="453"/>
      <c r="N489" s="413"/>
      <c r="O489" s="413"/>
      <c r="P489" s="413"/>
      <c r="Q489" s="413"/>
      <c r="R489" s="413"/>
      <c r="S489" s="413"/>
      <c r="T489" s="413"/>
      <c r="U489" s="413"/>
      <c r="V489" s="413"/>
      <c r="W489" s="413"/>
      <c r="X489" s="413"/>
      <c r="Y489" s="413"/>
      <c r="Z489" s="413"/>
    </row>
    <row r="490">
      <c r="A490" s="452"/>
      <c r="B490" s="439"/>
      <c r="C490" s="454"/>
      <c r="D490" s="454"/>
      <c r="E490" s="439"/>
      <c r="F490" s="439"/>
      <c r="G490" s="454"/>
      <c r="H490" s="454"/>
      <c r="I490" s="456"/>
      <c r="J490" s="459"/>
      <c r="K490" s="458"/>
      <c r="L490" s="454"/>
      <c r="M490" s="453"/>
      <c r="N490" s="413"/>
      <c r="O490" s="413"/>
      <c r="P490" s="413"/>
      <c r="Q490" s="413"/>
      <c r="R490" s="413"/>
      <c r="S490" s="413"/>
      <c r="T490" s="413"/>
      <c r="U490" s="413"/>
      <c r="V490" s="413"/>
      <c r="W490" s="413"/>
      <c r="X490" s="413"/>
      <c r="Y490" s="413"/>
      <c r="Z490" s="413"/>
    </row>
    <row r="491">
      <c r="A491" s="452"/>
      <c r="B491" s="439"/>
      <c r="C491" s="454"/>
      <c r="D491" s="454"/>
      <c r="E491" s="439"/>
      <c r="F491" s="439"/>
      <c r="G491" s="454"/>
      <c r="H491" s="454"/>
      <c r="I491" s="456"/>
      <c r="J491" s="459"/>
      <c r="K491" s="458"/>
      <c r="L491" s="454"/>
      <c r="M491" s="453"/>
      <c r="N491" s="413"/>
      <c r="O491" s="413"/>
      <c r="P491" s="413"/>
      <c r="Q491" s="413"/>
      <c r="R491" s="413"/>
      <c r="S491" s="413"/>
      <c r="T491" s="413"/>
      <c r="U491" s="413"/>
      <c r="V491" s="413"/>
      <c r="W491" s="413"/>
      <c r="X491" s="413"/>
      <c r="Y491" s="413"/>
      <c r="Z491" s="413"/>
    </row>
    <row r="492">
      <c r="A492" s="452"/>
      <c r="B492" s="439"/>
      <c r="C492" s="454"/>
      <c r="D492" s="454"/>
      <c r="E492" s="439"/>
      <c r="F492" s="439"/>
      <c r="G492" s="454"/>
      <c r="H492" s="454"/>
      <c r="I492" s="456"/>
      <c r="J492" s="459"/>
      <c r="K492" s="458"/>
      <c r="L492" s="454"/>
      <c r="M492" s="453"/>
      <c r="N492" s="413"/>
      <c r="O492" s="413"/>
      <c r="P492" s="413"/>
      <c r="Q492" s="413"/>
      <c r="R492" s="413"/>
      <c r="S492" s="413"/>
      <c r="T492" s="413"/>
      <c r="U492" s="413"/>
      <c r="V492" s="413"/>
      <c r="W492" s="413"/>
      <c r="X492" s="413"/>
      <c r="Y492" s="413"/>
      <c r="Z492" s="413"/>
    </row>
    <row r="493">
      <c r="A493" s="452"/>
      <c r="B493" s="439"/>
      <c r="C493" s="454"/>
      <c r="D493" s="454"/>
      <c r="E493" s="439"/>
      <c r="F493" s="439"/>
      <c r="G493" s="454"/>
      <c r="H493" s="454"/>
      <c r="I493" s="456"/>
      <c r="J493" s="459"/>
      <c r="K493" s="458"/>
      <c r="L493" s="454"/>
      <c r="M493" s="453"/>
      <c r="N493" s="413"/>
      <c r="O493" s="413"/>
      <c r="P493" s="413"/>
      <c r="Q493" s="413"/>
      <c r="R493" s="413"/>
      <c r="S493" s="413"/>
      <c r="T493" s="413"/>
      <c r="U493" s="413"/>
      <c r="V493" s="413"/>
      <c r="W493" s="413"/>
      <c r="X493" s="413"/>
      <c r="Y493" s="413"/>
      <c r="Z493" s="413"/>
    </row>
    <row r="494">
      <c r="A494" s="452"/>
      <c r="B494" s="439"/>
      <c r="C494" s="454"/>
      <c r="D494" s="454"/>
      <c r="E494" s="439"/>
      <c r="F494" s="439"/>
      <c r="G494" s="454"/>
      <c r="H494" s="454"/>
      <c r="I494" s="456"/>
      <c r="J494" s="459"/>
      <c r="K494" s="458"/>
      <c r="L494" s="454"/>
      <c r="M494" s="453"/>
      <c r="N494" s="413"/>
      <c r="O494" s="413"/>
      <c r="P494" s="413"/>
      <c r="Q494" s="413"/>
      <c r="R494" s="413"/>
      <c r="S494" s="413"/>
      <c r="T494" s="413"/>
      <c r="U494" s="413"/>
      <c r="V494" s="413"/>
      <c r="W494" s="413"/>
      <c r="X494" s="413"/>
      <c r="Y494" s="413"/>
      <c r="Z494" s="413"/>
    </row>
    <row r="495">
      <c r="A495" s="452"/>
      <c r="B495" s="439"/>
      <c r="C495" s="454"/>
      <c r="D495" s="454"/>
      <c r="E495" s="439"/>
      <c r="F495" s="439"/>
      <c r="G495" s="454"/>
      <c r="H495" s="454"/>
      <c r="I495" s="456"/>
      <c r="J495" s="459"/>
      <c r="K495" s="458"/>
      <c r="L495" s="454"/>
      <c r="M495" s="453"/>
      <c r="N495" s="413"/>
      <c r="O495" s="413"/>
      <c r="P495" s="413"/>
      <c r="Q495" s="413"/>
      <c r="R495" s="413"/>
      <c r="S495" s="413"/>
      <c r="T495" s="413"/>
      <c r="U495" s="413"/>
      <c r="V495" s="413"/>
      <c r="W495" s="413"/>
      <c r="X495" s="413"/>
      <c r="Y495" s="413"/>
      <c r="Z495" s="413"/>
    </row>
    <row r="496">
      <c r="A496" s="452"/>
      <c r="B496" s="439"/>
      <c r="C496" s="454"/>
      <c r="D496" s="454"/>
      <c r="E496" s="439"/>
      <c r="F496" s="439"/>
      <c r="G496" s="454"/>
      <c r="H496" s="454"/>
      <c r="I496" s="456"/>
      <c r="J496" s="459"/>
      <c r="K496" s="458"/>
      <c r="L496" s="454"/>
      <c r="M496" s="453"/>
      <c r="N496" s="413"/>
      <c r="O496" s="413"/>
      <c r="P496" s="413"/>
      <c r="Q496" s="413"/>
      <c r="R496" s="413"/>
      <c r="S496" s="413"/>
      <c r="T496" s="413"/>
      <c r="U496" s="413"/>
      <c r="V496" s="413"/>
      <c r="W496" s="413"/>
      <c r="X496" s="413"/>
      <c r="Y496" s="413"/>
      <c r="Z496" s="413"/>
    </row>
    <row r="497">
      <c r="A497" s="452"/>
      <c r="B497" s="439"/>
      <c r="C497" s="454"/>
      <c r="D497" s="454"/>
      <c r="E497" s="439"/>
      <c r="F497" s="439"/>
      <c r="G497" s="454"/>
      <c r="H497" s="454"/>
      <c r="I497" s="456"/>
      <c r="J497" s="459"/>
      <c r="K497" s="458"/>
      <c r="L497" s="454"/>
      <c r="M497" s="453"/>
      <c r="N497" s="413"/>
      <c r="O497" s="413"/>
      <c r="P497" s="413"/>
      <c r="Q497" s="413"/>
      <c r="R497" s="413"/>
      <c r="S497" s="413"/>
      <c r="T497" s="413"/>
      <c r="U497" s="413"/>
      <c r="V497" s="413"/>
      <c r="W497" s="413"/>
      <c r="X497" s="413"/>
      <c r="Y497" s="413"/>
      <c r="Z497" s="413"/>
    </row>
    <row r="498">
      <c r="A498" s="452"/>
      <c r="B498" s="439"/>
      <c r="C498" s="454"/>
      <c r="D498" s="454"/>
      <c r="E498" s="439"/>
      <c r="F498" s="439"/>
      <c r="G498" s="454"/>
      <c r="H498" s="454"/>
      <c r="I498" s="456"/>
      <c r="J498" s="459"/>
      <c r="K498" s="458"/>
      <c r="L498" s="454"/>
      <c r="M498" s="453"/>
      <c r="N498" s="413"/>
      <c r="O498" s="413"/>
      <c r="P498" s="413"/>
      <c r="Q498" s="413"/>
      <c r="R498" s="413"/>
      <c r="S498" s="413"/>
      <c r="T498" s="413"/>
      <c r="U498" s="413"/>
      <c r="V498" s="413"/>
      <c r="W498" s="413"/>
      <c r="X498" s="413"/>
      <c r="Y498" s="413"/>
      <c r="Z498" s="413"/>
    </row>
    <row r="499">
      <c r="A499" s="452"/>
      <c r="B499" s="439"/>
      <c r="C499" s="454"/>
      <c r="D499" s="454"/>
      <c r="E499" s="439"/>
      <c r="F499" s="439"/>
      <c r="G499" s="454"/>
      <c r="H499" s="454"/>
      <c r="I499" s="456"/>
      <c r="J499" s="459"/>
      <c r="K499" s="458"/>
      <c r="L499" s="454"/>
      <c r="M499" s="453"/>
      <c r="N499" s="413"/>
      <c r="O499" s="413"/>
      <c r="P499" s="413"/>
      <c r="Q499" s="413"/>
      <c r="R499" s="413"/>
      <c r="S499" s="413"/>
      <c r="T499" s="413"/>
      <c r="U499" s="413"/>
      <c r="V499" s="413"/>
      <c r="W499" s="413"/>
      <c r="X499" s="413"/>
      <c r="Y499" s="413"/>
      <c r="Z499" s="413"/>
    </row>
    <row r="500">
      <c r="A500" s="452"/>
      <c r="B500" s="439"/>
      <c r="C500" s="454"/>
      <c r="D500" s="454"/>
      <c r="E500" s="439"/>
      <c r="F500" s="439"/>
      <c r="G500" s="454"/>
      <c r="H500" s="454"/>
      <c r="I500" s="456"/>
      <c r="J500" s="459"/>
      <c r="K500" s="458"/>
      <c r="L500" s="454"/>
      <c r="M500" s="453"/>
      <c r="N500" s="413"/>
      <c r="O500" s="413"/>
      <c r="P500" s="413"/>
      <c r="Q500" s="413"/>
      <c r="R500" s="413"/>
      <c r="S500" s="413"/>
      <c r="T500" s="413"/>
      <c r="U500" s="413"/>
      <c r="V500" s="413"/>
      <c r="W500" s="413"/>
      <c r="X500" s="413"/>
      <c r="Y500" s="413"/>
      <c r="Z500" s="413"/>
    </row>
    <row r="501">
      <c r="A501" s="452"/>
      <c r="B501" s="439"/>
      <c r="C501" s="454"/>
      <c r="D501" s="454"/>
      <c r="E501" s="439"/>
      <c r="F501" s="439"/>
      <c r="G501" s="454"/>
      <c r="H501" s="454"/>
      <c r="I501" s="456"/>
      <c r="J501" s="459"/>
      <c r="K501" s="458"/>
      <c r="L501" s="454"/>
      <c r="M501" s="453"/>
      <c r="N501" s="413"/>
      <c r="O501" s="413"/>
      <c r="P501" s="413"/>
      <c r="Q501" s="413"/>
      <c r="R501" s="413"/>
      <c r="S501" s="413"/>
      <c r="T501" s="413"/>
      <c r="U501" s="413"/>
      <c r="V501" s="413"/>
      <c r="W501" s="413"/>
      <c r="X501" s="413"/>
      <c r="Y501" s="413"/>
      <c r="Z501" s="413"/>
    </row>
    <row r="502">
      <c r="A502" s="452"/>
      <c r="B502" s="439"/>
      <c r="C502" s="454"/>
      <c r="D502" s="454"/>
      <c r="E502" s="439"/>
      <c r="F502" s="439"/>
      <c r="G502" s="454"/>
      <c r="H502" s="454"/>
      <c r="I502" s="456"/>
      <c r="J502" s="459"/>
      <c r="K502" s="458"/>
      <c r="L502" s="454"/>
      <c r="M502" s="453"/>
      <c r="N502" s="413"/>
      <c r="O502" s="413"/>
      <c r="P502" s="413"/>
      <c r="Q502" s="413"/>
      <c r="R502" s="413"/>
      <c r="S502" s="413"/>
      <c r="T502" s="413"/>
      <c r="U502" s="413"/>
      <c r="V502" s="413"/>
      <c r="W502" s="413"/>
      <c r="X502" s="413"/>
      <c r="Y502" s="413"/>
      <c r="Z502" s="413"/>
    </row>
    <row r="503">
      <c r="A503" s="452"/>
      <c r="B503" s="439"/>
      <c r="C503" s="454"/>
      <c r="D503" s="454"/>
      <c r="E503" s="439"/>
      <c r="F503" s="439"/>
      <c r="G503" s="454"/>
      <c r="H503" s="454"/>
      <c r="I503" s="456"/>
      <c r="J503" s="459"/>
      <c r="K503" s="458"/>
      <c r="L503" s="454"/>
      <c r="M503" s="453"/>
      <c r="N503" s="413"/>
      <c r="O503" s="413"/>
      <c r="P503" s="413"/>
      <c r="Q503" s="413"/>
      <c r="R503" s="413"/>
      <c r="S503" s="413"/>
      <c r="T503" s="413"/>
      <c r="U503" s="413"/>
      <c r="V503" s="413"/>
      <c r="W503" s="413"/>
      <c r="X503" s="413"/>
      <c r="Y503" s="413"/>
      <c r="Z503" s="413"/>
    </row>
    <row r="504">
      <c r="A504" s="452"/>
      <c r="B504" s="439"/>
      <c r="C504" s="454"/>
      <c r="D504" s="454"/>
      <c r="E504" s="439"/>
      <c r="F504" s="439"/>
      <c r="G504" s="454"/>
      <c r="H504" s="454"/>
      <c r="I504" s="456"/>
      <c r="J504" s="459"/>
      <c r="K504" s="458"/>
      <c r="L504" s="454"/>
      <c r="M504" s="453"/>
      <c r="N504" s="413"/>
      <c r="O504" s="413"/>
      <c r="P504" s="413"/>
      <c r="Q504" s="413"/>
      <c r="R504" s="413"/>
      <c r="S504" s="413"/>
      <c r="T504" s="413"/>
      <c r="U504" s="413"/>
      <c r="V504" s="413"/>
      <c r="W504" s="413"/>
      <c r="X504" s="413"/>
      <c r="Y504" s="413"/>
      <c r="Z504" s="413"/>
    </row>
    <row r="505">
      <c r="A505" s="452"/>
      <c r="B505" s="439"/>
      <c r="C505" s="454"/>
      <c r="D505" s="454"/>
      <c r="E505" s="439"/>
      <c r="F505" s="439"/>
      <c r="G505" s="454"/>
      <c r="H505" s="454"/>
      <c r="I505" s="456"/>
      <c r="J505" s="459"/>
      <c r="K505" s="458"/>
      <c r="L505" s="454"/>
      <c r="M505" s="453"/>
      <c r="N505" s="413"/>
      <c r="O505" s="413"/>
      <c r="P505" s="413"/>
      <c r="Q505" s="413"/>
      <c r="R505" s="413"/>
      <c r="S505" s="413"/>
      <c r="T505" s="413"/>
      <c r="U505" s="413"/>
      <c r="V505" s="413"/>
      <c r="W505" s="413"/>
      <c r="X505" s="413"/>
      <c r="Y505" s="413"/>
      <c r="Z505" s="413"/>
    </row>
    <row r="506">
      <c r="A506" s="452"/>
      <c r="B506" s="439"/>
      <c r="C506" s="454"/>
      <c r="D506" s="454"/>
      <c r="E506" s="439"/>
      <c r="F506" s="439"/>
      <c r="G506" s="454"/>
      <c r="H506" s="454"/>
      <c r="I506" s="456"/>
      <c r="J506" s="459"/>
      <c r="K506" s="458"/>
      <c r="L506" s="454"/>
      <c r="M506" s="453"/>
      <c r="N506" s="413"/>
      <c r="O506" s="413"/>
      <c r="P506" s="413"/>
      <c r="Q506" s="413"/>
      <c r="R506" s="413"/>
      <c r="S506" s="413"/>
      <c r="T506" s="413"/>
      <c r="U506" s="413"/>
      <c r="V506" s="413"/>
      <c r="W506" s="413"/>
      <c r="X506" s="413"/>
      <c r="Y506" s="413"/>
      <c r="Z506" s="413"/>
    </row>
    <row r="507">
      <c r="A507" s="452"/>
      <c r="B507" s="439"/>
      <c r="C507" s="454"/>
      <c r="D507" s="454"/>
      <c r="E507" s="439"/>
      <c r="F507" s="439"/>
      <c r="G507" s="454"/>
      <c r="H507" s="454"/>
      <c r="I507" s="456"/>
      <c r="J507" s="459"/>
      <c r="K507" s="458"/>
      <c r="L507" s="454"/>
      <c r="M507" s="453"/>
      <c r="N507" s="413"/>
      <c r="O507" s="413"/>
      <c r="P507" s="413"/>
      <c r="Q507" s="413"/>
      <c r="R507" s="413"/>
      <c r="S507" s="413"/>
      <c r="T507" s="413"/>
      <c r="U507" s="413"/>
      <c r="V507" s="413"/>
      <c r="W507" s="413"/>
      <c r="X507" s="413"/>
      <c r="Y507" s="413"/>
      <c r="Z507" s="413"/>
    </row>
    <row r="508">
      <c r="A508" s="452"/>
      <c r="B508" s="439"/>
      <c r="C508" s="454"/>
      <c r="D508" s="454"/>
      <c r="E508" s="439"/>
      <c r="F508" s="439"/>
      <c r="G508" s="454"/>
      <c r="H508" s="454"/>
      <c r="I508" s="456"/>
      <c r="J508" s="459"/>
      <c r="K508" s="458"/>
      <c r="L508" s="454"/>
      <c r="M508" s="453"/>
      <c r="N508" s="413"/>
      <c r="O508" s="413"/>
      <c r="P508" s="413"/>
      <c r="Q508" s="413"/>
      <c r="R508" s="413"/>
      <c r="S508" s="413"/>
      <c r="T508" s="413"/>
      <c r="U508" s="413"/>
      <c r="V508" s="413"/>
      <c r="W508" s="413"/>
      <c r="X508" s="413"/>
      <c r="Y508" s="413"/>
      <c r="Z508" s="413"/>
    </row>
    <row r="509">
      <c r="A509" s="452"/>
      <c r="B509" s="439"/>
      <c r="C509" s="454"/>
      <c r="D509" s="454"/>
      <c r="E509" s="439"/>
      <c r="F509" s="439"/>
      <c r="G509" s="454"/>
      <c r="H509" s="454"/>
      <c r="I509" s="456"/>
      <c r="J509" s="459"/>
      <c r="K509" s="458"/>
      <c r="L509" s="454"/>
      <c r="M509" s="453"/>
      <c r="N509" s="413"/>
      <c r="O509" s="413"/>
      <c r="P509" s="413"/>
      <c r="Q509" s="413"/>
      <c r="R509" s="413"/>
      <c r="S509" s="413"/>
      <c r="T509" s="413"/>
      <c r="U509" s="413"/>
      <c r="V509" s="413"/>
      <c r="W509" s="413"/>
      <c r="X509" s="413"/>
      <c r="Y509" s="413"/>
      <c r="Z509" s="413"/>
    </row>
    <row r="510">
      <c r="A510" s="452"/>
      <c r="B510" s="439"/>
      <c r="C510" s="454"/>
      <c r="D510" s="454"/>
      <c r="E510" s="439"/>
      <c r="F510" s="439"/>
      <c r="G510" s="454"/>
      <c r="H510" s="454"/>
      <c r="I510" s="456"/>
      <c r="J510" s="459"/>
      <c r="K510" s="458"/>
      <c r="L510" s="454"/>
      <c r="M510" s="453"/>
      <c r="N510" s="413"/>
      <c r="O510" s="413"/>
      <c r="P510" s="413"/>
      <c r="Q510" s="413"/>
      <c r="R510" s="413"/>
      <c r="S510" s="413"/>
      <c r="T510" s="413"/>
      <c r="U510" s="413"/>
      <c r="V510" s="413"/>
      <c r="W510" s="413"/>
      <c r="X510" s="413"/>
      <c r="Y510" s="413"/>
      <c r="Z510" s="413"/>
    </row>
    <row r="511">
      <c r="A511" s="452"/>
      <c r="B511" s="439"/>
      <c r="C511" s="454"/>
      <c r="D511" s="454"/>
      <c r="E511" s="439"/>
      <c r="F511" s="439"/>
      <c r="G511" s="454"/>
      <c r="H511" s="454"/>
      <c r="I511" s="456"/>
      <c r="J511" s="459"/>
      <c r="K511" s="458"/>
      <c r="L511" s="454"/>
      <c r="M511" s="453"/>
      <c r="N511" s="413"/>
      <c r="O511" s="413"/>
      <c r="P511" s="413"/>
      <c r="Q511" s="413"/>
      <c r="R511" s="413"/>
      <c r="S511" s="413"/>
      <c r="T511" s="413"/>
      <c r="U511" s="413"/>
      <c r="V511" s="413"/>
      <c r="W511" s="413"/>
      <c r="X511" s="413"/>
      <c r="Y511" s="413"/>
      <c r="Z511" s="413"/>
    </row>
    <row r="512">
      <c r="A512" s="452"/>
      <c r="B512" s="439"/>
      <c r="C512" s="454"/>
      <c r="D512" s="454"/>
      <c r="E512" s="439"/>
      <c r="F512" s="439"/>
      <c r="G512" s="454"/>
      <c r="H512" s="454"/>
      <c r="I512" s="456"/>
      <c r="J512" s="459"/>
      <c r="K512" s="458"/>
      <c r="L512" s="454"/>
      <c r="M512" s="453"/>
      <c r="N512" s="413"/>
      <c r="O512" s="413"/>
      <c r="P512" s="413"/>
      <c r="Q512" s="413"/>
      <c r="R512" s="413"/>
      <c r="S512" s="413"/>
      <c r="T512" s="413"/>
      <c r="U512" s="413"/>
      <c r="V512" s="413"/>
      <c r="W512" s="413"/>
      <c r="X512" s="413"/>
      <c r="Y512" s="413"/>
      <c r="Z512" s="413"/>
    </row>
    <row r="513">
      <c r="A513" s="452"/>
      <c r="B513" s="439"/>
      <c r="C513" s="454"/>
      <c r="D513" s="454"/>
      <c r="E513" s="439"/>
      <c r="F513" s="439"/>
      <c r="G513" s="454"/>
      <c r="H513" s="454"/>
      <c r="I513" s="456"/>
      <c r="J513" s="459"/>
      <c r="K513" s="458"/>
      <c r="L513" s="454"/>
      <c r="M513" s="453"/>
      <c r="N513" s="413"/>
      <c r="O513" s="413"/>
      <c r="P513" s="413"/>
      <c r="Q513" s="413"/>
      <c r="R513" s="413"/>
      <c r="S513" s="413"/>
      <c r="T513" s="413"/>
      <c r="U513" s="413"/>
      <c r="V513" s="413"/>
      <c r="W513" s="413"/>
      <c r="X513" s="413"/>
      <c r="Y513" s="413"/>
      <c r="Z513" s="413"/>
    </row>
    <row r="514">
      <c r="A514" s="452"/>
      <c r="B514" s="439"/>
      <c r="C514" s="454"/>
      <c r="D514" s="454"/>
      <c r="E514" s="439"/>
      <c r="F514" s="439"/>
      <c r="G514" s="454"/>
      <c r="H514" s="454"/>
      <c r="I514" s="456"/>
      <c r="J514" s="459"/>
      <c r="K514" s="458"/>
      <c r="L514" s="454"/>
      <c r="M514" s="453"/>
      <c r="N514" s="413"/>
      <c r="O514" s="413"/>
      <c r="P514" s="413"/>
      <c r="Q514" s="413"/>
      <c r="R514" s="413"/>
      <c r="S514" s="413"/>
      <c r="T514" s="413"/>
      <c r="U514" s="413"/>
      <c r="V514" s="413"/>
      <c r="W514" s="413"/>
      <c r="X514" s="413"/>
      <c r="Y514" s="413"/>
      <c r="Z514" s="413"/>
    </row>
    <row r="515">
      <c r="A515" s="452"/>
      <c r="B515" s="439"/>
      <c r="C515" s="454"/>
      <c r="D515" s="454"/>
      <c r="E515" s="439"/>
      <c r="F515" s="439"/>
      <c r="G515" s="454"/>
      <c r="H515" s="454"/>
      <c r="I515" s="456"/>
      <c r="J515" s="459"/>
      <c r="K515" s="458"/>
      <c r="L515" s="454"/>
      <c r="M515" s="453"/>
      <c r="N515" s="413"/>
      <c r="O515" s="413"/>
      <c r="P515" s="413"/>
      <c r="Q515" s="413"/>
      <c r="R515" s="413"/>
      <c r="S515" s="413"/>
      <c r="T515" s="413"/>
      <c r="U515" s="413"/>
      <c r="V515" s="413"/>
      <c r="W515" s="413"/>
      <c r="X515" s="413"/>
      <c r="Y515" s="413"/>
      <c r="Z515" s="413"/>
    </row>
    <row r="516">
      <c r="A516" s="452"/>
      <c r="B516" s="439"/>
      <c r="C516" s="454"/>
      <c r="D516" s="454"/>
      <c r="E516" s="439"/>
      <c r="F516" s="439"/>
      <c r="G516" s="454"/>
      <c r="H516" s="454"/>
      <c r="I516" s="456"/>
      <c r="J516" s="459"/>
      <c r="K516" s="458"/>
      <c r="L516" s="454"/>
      <c r="M516" s="453"/>
      <c r="N516" s="413"/>
      <c r="O516" s="413"/>
      <c r="P516" s="413"/>
      <c r="Q516" s="413"/>
      <c r="R516" s="413"/>
      <c r="S516" s="413"/>
      <c r="T516" s="413"/>
      <c r="U516" s="413"/>
      <c r="V516" s="413"/>
      <c r="W516" s="413"/>
      <c r="X516" s="413"/>
      <c r="Y516" s="413"/>
      <c r="Z516" s="413"/>
    </row>
    <row r="517">
      <c r="A517" s="452"/>
      <c r="B517" s="439"/>
      <c r="C517" s="454"/>
      <c r="D517" s="454"/>
      <c r="E517" s="439"/>
      <c r="F517" s="439"/>
      <c r="G517" s="454"/>
      <c r="H517" s="454"/>
      <c r="I517" s="456"/>
      <c r="J517" s="459"/>
      <c r="K517" s="458"/>
      <c r="L517" s="454"/>
      <c r="M517" s="453"/>
      <c r="N517" s="413"/>
      <c r="O517" s="413"/>
      <c r="P517" s="413"/>
      <c r="Q517" s="413"/>
      <c r="R517" s="413"/>
      <c r="S517" s="413"/>
      <c r="T517" s="413"/>
      <c r="U517" s="413"/>
      <c r="V517" s="413"/>
      <c r="W517" s="413"/>
      <c r="X517" s="413"/>
      <c r="Y517" s="413"/>
      <c r="Z517" s="413"/>
    </row>
    <row r="518">
      <c r="A518" s="452"/>
      <c r="B518" s="439"/>
      <c r="C518" s="454"/>
      <c r="D518" s="454"/>
      <c r="E518" s="439"/>
      <c r="F518" s="439"/>
      <c r="G518" s="454"/>
      <c r="H518" s="454"/>
      <c r="I518" s="456"/>
      <c r="J518" s="459"/>
      <c r="K518" s="458"/>
      <c r="L518" s="454"/>
      <c r="M518" s="453"/>
      <c r="N518" s="413"/>
      <c r="O518" s="413"/>
      <c r="P518" s="413"/>
      <c r="Q518" s="413"/>
      <c r="R518" s="413"/>
      <c r="S518" s="413"/>
      <c r="T518" s="413"/>
      <c r="U518" s="413"/>
      <c r="V518" s="413"/>
      <c r="W518" s="413"/>
      <c r="X518" s="413"/>
      <c r="Y518" s="413"/>
      <c r="Z518" s="413"/>
    </row>
    <row r="519">
      <c r="A519" s="452"/>
      <c r="B519" s="439"/>
      <c r="C519" s="454"/>
      <c r="D519" s="454"/>
      <c r="E519" s="439"/>
      <c r="F519" s="439"/>
      <c r="G519" s="454"/>
      <c r="H519" s="454"/>
      <c r="I519" s="456"/>
      <c r="J519" s="459"/>
      <c r="K519" s="458"/>
      <c r="L519" s="454"/>
      <c r="M519" s="453"/>
      <c r="N519" s="413"/>
      <c r="O519" s="413"/>
      <c r="P519" s="413"/>
      <c r="Q519" s="413"/>
      <c r="R519" s="413"/>
      <c r="S519" s="413"/>
      <c r="T519" s="413"/>
      <c r="U519" s="413"/>
      <c r="V519" s="413"/>
      <c r="W519" s="413"/>
      <c r="X519" s="413"/>
      <c r="Y519" s="413"/>
      <c r="Z519" s="413"/>
    </row>
    <row r="520">
      <c r="A520" s="452"/>
      <c r="B520" s="439"/>
      <c r="C520" s="454"/>
      <c r="D520" s="454"/>
      <c r="E520" s="439"/>
      <c r="F520" s="439"/>
      <c r="G520" s="454"/>
      <c r="H520" s="454"/>
      <c r="I520" s="456"/>
      <c r="J520" s="459"/>
      <c r="K520" s="458"/>
      <c r="L520" s="454"/>
      <c r="M520" s="453"/>
      <c r="N520" s="413"/>
      <c r="O520" s="413"/>
      <c r="P520" s="413"/>
      <c r="Q520" s="413"/>
      <c r="R520" s="413"/>
      <c r="S520" s="413"/>
      <c r="T520" s="413"/>
      <c r="U520" s="413"/>
      <c r="V520" s="413"/>
      <c r="W520" s="413"/>
      <c r="X520" s="413"/>
      <c r="Y520" s="413"/>
      <c r="Z520" s="413"/>
    </row>
    <row r="521">
      <c r="A521" s="452"/>
      <c r="B521" s="439"/>
      <c r="C521" s="454"/>
      <c r="D521" s="454"/>
      <c r="E521" s="439"/>
      <c r="F521" s="439"/>
      <c r="G521" s="454"/>
      <c r="H521" s="454"/>
      <c r="I521" s="456"/>
      <c r="J521" s="459"/>
      <c r="K521" s="458"/>
      <c r="L521" s="454"/>
      <c r="M521" s="453"/>
      <c r="N521" s="413"/>
      <c r="O521" s="413"/>
      <c r="P521" s="413"/>
      <c r="Q521" s="413"/>
      <c r="R521" s="413"/>
      <c r="S521" s="413"/>
      <c r="T521" s="413"/>
      <c r="U521" s="413"/>
      <c r="V521" s="413"/>
      <c r="W521" s="413"/>
      <c r="X521" s="413"/>
      <c r="Y521" s="413"/>
      <c r="Z521" s="413"/>
    </row>
    <row r="522">
      <c r="A522" s="452"/>
      <c r="B522" s="439"/>
      <c r="C522" s="454"/>
      <c r="D522" s="454"/>
      <c r="E522" s="439"/>
      <c r="F522" s="439"/>
      <c r="G522" s="454"/>
      <c r="H522" s="454"/>
      <c r="I522" s="456"/>
      <c r="J522" s="459"/>
      <c r="K522" s="458"/>
      <c r="L522" s="454"/>
      <c r="M522" s="453"/>
      <c r="N522" s="413"/>
      <c r="O522" s="413"/>
      <c r="P522" s="413"/>
      <c r="Q522" s="413"/>
      <c r="R522" s="413"/>
      <c r="S522" s="413"/>
      <c r="T522" s="413"/>
      <c r="U522" s="413"/>
      <c r="V522" s="413"/>
      <c r="W522" s="413"/>
      <c r="X522" s="413"/>
      <c r="Y522" s="413"/>
      <c r="Z522" s="413"/>
    </row>
    <row r="523">
      <c r="A523" s="452"/>
      <c r="B523" s="439"/>
      <c r="C523" s="454"/>
      <c r="D523" s="454"/>
      <c r="E523" s="439"/>
      <c r="F523" s="439"/>
      <c r="G523" s="454"/>
      <c r="H523" s="454"/>
      <c r="I523" s="456"/>
      <c r="J523" s="459"/>
      <c r="K523" s="458"/>
      <c r="L523" s="454"/>
      <c r="M523" s="453"/>
      <c r="N523" s="413"/>
      <c r="O523" s="413"/>
      <c r="P523" s="413"/>
      <c r="Q523" s="413"/>
      <c r="R523" s="413"/>
      <c r="S523" s="413"/>
      <c r="T523" s="413"/>
      <c r="U523" s="413"/>
      <c r="V523" s="413"/>
      <c r="W523" s="413"/>
      <c r="X523" s="413"/>
      <c r="Y523" s="413"/>
      <c r="Z523" s="413"/>
    </row>
    <row r="524">
      <c r="A524" s="452"/>
      <c r="B524" s="439"/>
      <c r="C524" s="454"/>
      <c r="D524" s="454"/>
      <c r="E524" s="439"/>
      <c r="F524" s="439"/>
      <c r="G524" s="454"/>
      <c r="H524" s="454"/>
      <c r="I524" s="456"/>
      <c r="J524" s="459"/>
      <c r="K524" s="458"/>
      <c r="L524" s="454"/>
      <c r="M524" s="453"/>
      <c r="N524" s="413"/>
      <c r="O524" s="413"/>
      <c r="P524" s="413"/>
      <c r="Q524" s="413"/>
      <c r="R524" s="413"/>
      <c r="S524" s="413"/>
      <c r="T524" s="413"/>
      <c r="U524" s="413"/>
      <c r="V524" s="413"/>
      <c r="W524" s="413"/>
      <c r="X524" s="413"/>
      <c r="Y524" s="413"/>
      <c r="Z524" s="413"/>
    </row>
    <row r="525">
      <c r="A525" s="452"/>
      <c r="B525" s="439"/>
      <c r="C525" s="454"/>
      <c r="D525" s="454"/>
      <c r="E525" s="439"/>
      <c r="F525" s="439"/>
      <c r="G525" s="454"/>
      <c r="H525" s="454"/>
      <c r="I525" s="456"/>
      <c r="J525" s="459"/>
      <c r="K525" s="458"/>
      <c r="L525" s="454"/>
      <c r="M525" s="453"/>
      <c r="N525" s="413"/>
      <c r="O525" s="413"/>
      <c r="P525" s="413"/>
      <c r="Q525" s="413"/>
      <c r="R525" s="413"/>
      <c r="S525" s="413"/>
      <c r="T525" s="413"/>
      <c r="U525" s="413"/>
      <c r="V525" s="413"/>
      <c r="W525" s="413"/>
      <c r="X525" s="413"/>
      <c r="Y525" s="413"/>
      <c r="Z525" s="413"/>
    </row>
    <row r="526">
      <c r="A526" s="452"/>
      <c r="B526" s="439"/>
      <c r="C526" s="454"/>
      <c r="D526" s="454"/>
      <c r="E526" s="439"/>
      <c r="F526" s="439"/>
      <c r="G526" s="454"/>
      <c r="H526" s="454"/>
      <c r="I526" s="456"/>
      <c r="J526" s="459"/>
      <c r="K526" s="458"/>
      <c r="L526" s="454"/>
      <c r="M526" s="453"/>
      <c r="N526" s="413"/>
      <c r="O526" s="413"/>
      <c r="P526" s="413"/>
      <c r="Q526" s="413"/>
      <c r="R526" s="413"/>
      <c r="S526" s="413"/>
      <c r="T526" s="413"/>
      <c r="U526" s="413"/>
      <c r="V526" s="413"/>
      <c r="W526" s="413"/>
      <c r="X526" s="413"/>
      <c r="Y526" s="413"/>
      <c r="Z526" s="413"/>
    </row>
    <row r="527">
      <c r="A527" s="452"/>
      <c r="B527" s="439"/>
      <c r="C527" s="454"/>
      <c r="D527" s="454"/>
      <c r="E527" s="439"/>
      <c r="F527" s="439"/>
      <c r="G527" s="454"/>
      <c r="H527" s="454"/>
      <c r="I527" s="456"/>
      <c r="J527" s="459"/>
      <c r="K527" s="458"/>
      <c r="L527" s="454"/>
      <c r="M527" s="453"/>
      <c r="N527" s="413"/>
      <c r="O527" s="413"/>
      <c r="P527" s="413"/>
      <c r="Q527" s="413"/>
      <c r="R527" s="413"/>
      <c r="S527" s="413"/>
      <c r="T527" s="413"/>
      <c r="U527" s="413"/>
      <c r="V527" s="413"/>
      <c r="W527" s="413"/>
      <c r="X527" s="413"/>
      <c r="Y527" s="413"/>
      <c r="Z527" s="413"/>
    </row>
    <row r="528">
      <c r="A528" s="452"/>
      <c r="B528" s="439"/>
      <c r="C528" s="454"/>
      <c r="D528" s="454"/>
      <c r="E528" s="439"/>
      <c r="F528" s="439"/>
      <c r="G528" s="454"/>
      <c r="H528" s="454"/>
      <c r="I528" s="456"/>
      <c r="J528" s="459"/>
      <c r="K528" s="458"/>
      <c r="L528" s="454"/>
      <c r="M528" s="453"/>
      <c r="N528" s="413"/>
      <c r="O528" s="413"/>
      <c r="P528" s="413"/>
      <c r="Q528" s="413"/>
      <c r="R528" s="413"/>
      <c r="S528" s="413"/>
      <c r="T528" s="413"/>
      <c r="U528" s="413"/>
      <c r="V528" s="413"/>
      <c r="W528" s="413"/>
      <c r="X528" s="413"/>
      <c r="Y528" s="413"/>
      <c r="Z528" s="413"/>
    </row>
    <row r="529">
      <c r="A529" s="452"/>
      <c r="B529" s="439"/>
      <c r="C529" s="454"/>
      <c r="D529" s="454"/>
      <c r="E529" s="439"/>
      <c r="F529" s="439"/>
      <c r="G529" s="454"/>
      <c r="H529" s="454"/>
      <c r="I529" s="456"/>
      <c r="J529" s="459"/>
      <c r="K529" s="458"/>
      <c r="L529" s="454"/>
      <c r="M529" s="453"/>
      <c r="N529" s="413"/>
      <c r="O529" s="413"/>
      <c r="P529" s="413"/>
      <c r="Q529" s="413"/>
      <c r="R529" s="413"/>
      <c r="S529" s="413"/>
      <c r="T529" s="413"/>
      <c r="U529" s="413"/>
      <c r="V529" s="413"/>
      <c r="W529" s="413"/>
      <c r="X529" s="413"/>
      <c r="Y529" s="413"/>
      <c r="Z529" s="413"/>
    </row>
    <row r="530">
      <c r="A530" s="452"/>
      <c r="B530" s="439"/>
      <c r="C530" s="454"/>
      <c r="D530" s="454"/>
      <c r="E530" s="439"/>
      <c r="F530" s="439"/>
      <c r="G530" s="454"/>
      <c r="H530" s="454"/>
      <c r="I530" s="456"/>
      <c r="J530" s="459"/>
      <c r="K530" s="458"/>
      <c r="L530" s="454"/>
      <c r="M530" s="453"/>
      <c r="N530" s="413"/>
      <c r="O530" s="413"/>
      <c r="P530" s="413"/>
      <c r="Q530" s="413"/>
      <c r="R530" s="413"/>
      <c r="S530" s="413"/>
      <c r="T530" s="413"/>
      <c r="U530" s="413"/>
      <c r="V530" s="413"/>
      <c r="W530" s="413"/>
      <c r="X530" s="413"/>
      <c r="Y530" s="413"/>
      <c r="Z530" s="413"/>
    </row>
    <row r="531">
      <c r="A531" s="452"/>
      <c r="B531" s="439"/>
      <c r="C531" s="454"/>
      <c r="D531" s="454"/>
      <c r="E531" s="439"/>
      <c r="F531" s="439"/>
      <c r="G531" s="454"/>
      <c r="H531" s="454"/>
      <c r="I531" s="456"/>
      <c r="J531" s="459"/>
      <c r="K531" s="458"/>
      <c r="L531" s="454"/>
      <c r="M531" s="453"/>
      <c r="N531" s="413"/>
      <c r="O531" s="413"/>
      <c r="P531" s="413"/>
      <c r="Q531" s="413"/>
      <c r="R531" s="413"/>
      <c r="S531" s="413"/>
      <c r="T531" s="413"/>
      <c r="U531" s="413"/>
      <c r="V531" s="413"/>
      <c r="W531" s="413"/>
      <c r="X531" s="413"/>
      <c r="Y531" s="413"/>
      <c r="Z531" s="413"/>
    </row>
    <row r="532">
      <c r="A532" s="452"/>
      <c r="B532" s="439"/>
      <c r="C532" s="454"/>
      <c r="D532" s="454"/>
      <c r="E532" s="439"/>
      <c r="F532" s="439"/>
      <c r="G532" s="454"/>
      <c r="H532" s="454"/>
      <c r="I532" s="456"/>
      <c r="J532" s="459"/>
      <c r="K532" s="458"/>
      <c r="L532" s="454"/>
      <c r="M532" s="453"/>
      <c r="N532" s="413"/>
      <c r="O532" s="413"/>
      <c r="P532" s="413"/>
      <c r="Q532" s="413"/>
      <c r="R532" s="413"/>
      <c r="S532" s="413"/>
      <c r="T532" s="413"/>
      <c r="U532" s="413"/>
      <c r="V532" s="413"/>
      <c r="W532" s="413"/>
      <c r="X532" s="413"/>
      <c r="Y532" s="413"/>
      <c r="Z532" s="413"/>
    </row>
    <row r="533">
      <c r="A533" s="452"/>
      <c r="B533" s="439"/>
      <c r="C533" s="454"/>
      <c r="D533" s="454"/>
      <c r="E533" s="439"/>
      <c r="F533" s="439"/>
      <c r="G533" s="454"/>
      <c r="H533" s="454"/>
      <c r="I533" s="456"/>
      <c r="J533" s="459"/>
      <c r="K533" s="458"/>
      <c r="L533" s="454"/>
      <c r="M533" s="453"/>
      <c r="N533" s="413"/>
      <c r="O533" s="413"/>
      <c r="P533" s="413"/>
      <c r="Q533" s="413"/>
      <c r="R533" s="413"/>
      <c r="S533" s="413"/>
      <c r="T533" s="413"/>
      <c r="U533" s="413"/>
      <c r="V533" s="413"/>
      <c r="W533" s="413"/>
      <c r="X533" s="413"/>
      <c r="Y533" s="413"/>
      <c r="Z533" s="413"/>
    </row>
    <row r="534">
      <c r="A534" s="452"/>
      <c r="B534" s="439"/>
      <c r="C534" s="454"/>
      <c r="D534" s="454"/>
      <c r="E534" s="439"/>
      <c r="F534" s="439"/>
      <c r="G534" s="454"/>
      <c r="H534" s="454"/>
      <c r="I534" s="456"/>
      <c r="J534" s="459"/>
      <c r="K534" s="458"/>
      <c r="L534" s="454"/>
      <c r="M534" s="453"/>
      <c r="N534" s="413"/>
      <c r="O534" s="413"/>
      <c r="P534" s="413"/>
      <c r="Q534" s="413"/>
      <c r="R534" s="413"/>
      <c r="S534" s="413"/>
      <c r="T534" s="413"/>
      <c r="U534" s="413"/>
      <c r="V534" s="413"/>
      <c r="W534" s="413"/>
      <c r="X534" s="413"/>
      <c r="Y534" s="413"/>
      <c r="Z534" s="413"/>
    </row>
    <row r="535">
      <c r="A535" s="452"/>
      <c r="B535" s="439"/>
      <c r="C535" s="454"/>
      <c r="D535" s="454"/>
      <c r="E535" s="439"/>
      <c r="F535" s="439"/>
      <c r="G535" s="454"/>
      <c r="H535" s="454"/>
      <c r="I535" s="456"/>
      <c r="J535" s="459"/>
      <c r="K535" s="458"/>
      <c r="L535" s="454"/>
      <c r="M535" s="453"/>
      <c r="N535" s="413"/>
      <c r="O535" s="413"/>
      <c r="P535" s="413"/>
      <c r="Q535" s="413"/>
      <c r="R535" s="413"/>
      <c r="S535" s="413"/>
      <c r="T535" s="413"/>
      <c r="U535" s="413"/>
      <c r="V535" s="413"/>
      <c r="W535" s="413"/>
      <c r="X535" s="413"/>
      <c r="Y535" s="413"/>
      <c r="Z535" s="413"/>
    </row>
    <row r="536">
      <c r="A536" s="452"/>
      <c r="B536" s="439"/>
      <c r="C536" s="454"/>
      <c r="D536" s="454"/>
      <c r="E536" s="439"/>
      <c r="F536" s="439"/>
      <c r="G536" s="454"/>
      <c r="H536" s="454"/>
      <c r="I536" s="456"/>
      <c r="J536" s="459"/>
      <c r="K536" s="458"/>
      <c r="L536" s="454"/>
      <c r="M536" s="453"/>
      <c r="N536" s="413"/>
      <c r="O536" s="413"/>
      <c r="P536" s="413"/>
      <c r="Q536" s="413"/>
      <c r="R536" s="413"/>
      <c r="S536" s="413"/>
      <c r="T536" s="413"/>
      <c r="U536" s="413"/>
      <c r="V536" s="413"/>
      <c r="W536" s="413"/>
      <c r="X536" s="413"/>
      <c r="Y536" s="413"/>
      <c r="Z536" s="413"/>
    </row>
    <row r="537">
      <c r="A537" s="452"/>
      <c r="B537" s="439"/>
      <c r="C537" s="454"/>
      <c r="D537" s="454"/>
      <c r="E537" s="439"/>
      <c r="F537" s="439"/>
      <c r="G537" s="454"/>
      <c r="H537" s="454"/>
      <c r="I537" s="456"/>
      <c r="J537" s="459"/>
      <c r="K537" s="458"/>
      <c r="L537" s="454"/>
      <c r="M537" s="453"/>
      <c r="N537" s="413"/>
      <c r="O537" s="413"/>
      <c r="P537" s="413"/>
      <c r="Q537" s="413"/>
      <c r="R537" s="413"/>
      <c r="S537" s="413"/>
      <c r="T537" s="413"/>
      <c r="U537" s="413"/>
      <c r="V537" s="413"/>
      <c r="W537" s="413"/>
      <c r="X537" s="413"/>
      <c r="Y537" s="413"/>
      <c r="Z537" s="413"/>
    </row>
    <row r="538">
      <c r="A538" s="452"/>
      <c r="B538" s="439"/>
      <c r="C538" s="454"/>
      <c r="D538" s="454"/>
      <c r="E538" s="439"/>
      <c r="F538" s="439"/>
      <c r="G538" s="454"/>
      <c r="H538" s="454"/>
      <c r="I538" s="456"/>
      <c r="J538" s="459"/>
      <c r="K538" s="458"/>
      <c r="L538" s="454"/>
      <c r="M538" s="453"/>
      <c r="N538" s="413"/>
      <c r="O538" s="413"/>
      <c r="P538" s="413"/>
      <c r="Q538" s="413"/>
      <c r="R538" s="413"/>
      <c r="S538" s="413"/>
      <c r="T538" s="413"/>
      <c r="U538" s="413"/>
      <c r="V538" s="413"/>
      <c r="W538" s="413"/>
      <c r="X538" s="413"/>
      <c r="Y538" s="413"/>
      <c r="Z538" s="413"/>
    </row>
    <row r="539">
      <c r="A539" s="452"/>
      <c r="B539" s="439"/>
      <c r="C539" s="454"/>
      <c r="D539" s="454"/>
      <c r="E539" s="439"/>
      <c r="F539" s="439"/>
      <c r="G539" s="454"/>
      <c r="H539" s="454"/>
      <c r="I539" s="456"/>
      <c r="J539" s="459"/>
      <c r="K539" s="458"/>
      <c r="L539" s="454"/>
      <c r="M539" s="453"/>
      <c r="N539" s="413"/>
      <c r="O539" s="413"/>
      <c r="P539" s="413"/>
      <c r="Q539" s="413"/>
      <c r="R539" s="413"/>
      <c r="S539" s="413"/>
      <c r="T539" s="413"/>
      <c r="U539" s="413"/>
      <c r="V539" s="413"/>
      <c r="W539" s="413"/>
      <c r="X539" s="413"/>
      <c r="Y539" s="413"/>
      <c r="Z539" s="413"/>
    </row>
    <row r="540">
      <c r="A540" s="452"/>
      <c r="B540" s="439"/>
      <c r="C540" s="454"/>
      <c r="D540" s="454"/>
      <c r="E540" s="439"/>
      <c r="F540" s="439"/>
      <c r="G540" s="454"/>
      <c r="H540" s="454"/>
      <c r="I540" s="456"/>
      <c r="J540" s="459"/>
      <c r="K540" s="458"/>
      <c r="L540" s="454"/>
      <c r="M540" s="453"/>
      <c r="N540" s="413"/>
      <c r="O540" s="413"/>
      <c r="P540" s="413"/>
      <c r="Q540" s="413"/>
      <c r="R540" s="413"/>
      <c r="S540" s="413"/>
      <c r="T540" s="413"/>
      <c r="U540" s="413"/>
      <c r="V540" s="413"/>
      <c r="W540" s="413"/>
      <c r="X540" s="413"/>
      <c r="Y540" s="413"/>
      <c r="Z540" s="413"/>
    </row>
    <row r="541">
      <c r="A541" s="452"/>
      <c r="B541" s="439"/>
      <c r="C541" s="454"/>
      <c r="D541" s="454"/>
      <c r="E541" s="439"/>
      <c r="F541" s="439"/>
      <c r="G541" s="454"/>
      <c r="H541" s="454"/>
      <c r="I541" s="456"/>
      <c r="J541" s="459"/>
      <c r="K541" s="458"/>
      <c r="L541" s="454"/>
      <c r="M541" s="453"/>
      <c r="N541" s="413"/>
      <c r="O541" s="413"/>
      <c r="P541" s="413"/>
      <c r="Q541" s="413"/>
      <c r="R541" s="413"/>
      <c r="S541" s="413"/>
      <c r="T541" s="413"/>
      <c r="U541" s="413"/>
      <c r="V541" s="413"/>
      <c r="W541" s="413"/>
      <c r="X541" s="413"/>
      <c r="Y541" s="413"/>
      <c r="Z541" s="413"/>
    </row>
    <row r="542">
      <c r="A542" s="452"/>
      <c r="B542" s="439"/>
      <c r="C542" s="454"/>
      <c r="D542" s="454"/>
      <c r="E542" s="439"/>
      <c r="F542" s="439"/>
      <c r="G542" s="454"/>
      <c r="H542" s="454"/>
      <c r="I542" s="456"/>
      <c r="J542" s="459"/>
      <c r="K542" s="458"/>
      <c r="L542" s="454"/>
      <c r="M542" s="453"/>
      <c r="N542" s="413"/>
      <c r="O542" s="413"/>
      <c r="P542" s="413"/>
      <c r="Q542" s="413"/>
      <c r="R542" s="413"/>
      <c r="S542" s="413"/>
      <c r="T542" s="413"/>
      <c r="U542" s="413"/>
      <c r="V542" s="413"/>
      <c r="W542" s="413"/>
      <c r="X542" s="413"/>
      <c r="Y542" s="413"/>
      <c r="Z542" s="413"/>
    </row>
    <row r="543">
      <c r="A543" s="452"/>
      <c r="B543" s="439"/>
      <c r="C543" s="454"/>
      <c r="D543" s="454"/>
      <c r="E543" s="439"/>
      <c r="F543" s="439"/>
      <c r="G543" s="454"/>
      <c r="H543" s="454"/>
      <c r="I543" s="456"/>
      <c r="J543" s="459"/>
      <c r="K543" s="458"/>
      <c r="L543" s="454"/>
      <c r="M543" s="453"/>
      <c r="N543" s="413"/>
      <c r="O543" s="413"/>
      <c r="P543" s="413"/>
      <c r="Q543" s="413"/>
      <c r="R543" s="413"/>
      <c r="S543" s="413"/>
      <c r="T543" s="413"/>
      <c r="U543" s="413"/>
      <c r="V543" s="413"/>
      <c r="W543" s="413"/>
      <c r="X543" s="413"/>
      <c r="Y543" s="413"/>
      <c r="Z543" s="413"/>
    </row>
    <row r="544">
      <c r="A544" s="452"/>
      <c r="B544" s="439"/>
      <c r="C544" s="454"/>
      <c r="D544" s="454"/>
      <c r="E544" s="439"/>
      <c r="F544" s="439"/>
      <c r="G544" s="454"/>
      <c r="H544" s="454"/>
      <c r="I544" s="456"/>
      <c r="J544" s="459"/>
      <c r="K544" s="458"/>
      <c r="L544" s="454"/>
      <c r="M544" s="453"/>
      <c r="N544" s="413"/>
      <c r="O544" s="413"/>
      <c r="P544" s="413"/>
      <c r="Q544" s="413"/>
      <c r="R544" s="413"/>
      <c r="S544" s="413"/>
      <c r="T544" s="413"/>
      <c r="U544" s="413"/>
      <c r="V544" s="413"/>
      <c r="W544" s="413"/>
      <c r="X544" s="413"/>
      <c r="Y544" s="413"/>
      <c r="Z544" s="413"/>
    </row>
    <row r="545">
      <c r="A545" s="452"/>
      <c r="B545" s="439"/>
      <c r="C545" s="454"/>
      <c r="D545" s="454"/>
      <c r="E545" s="439"/>
      <c r="F545" s="439"/>
      <c r="G545" s="454"/>
      <c r="H545" s="454"/>
      <c r="I545" s="456"/>
      <c r="J545" s="459"/>
      <c r="K545" s="458"/>
      <c r="L545" s="454"/>
      <c r="M545" s="453"/>
      <c r="N545" s="413"/>
      <c r="O545" s="413"/>
      <c r="P545" s="413"/>
      <c r="Q545" s="413"/>
      <c r="R545" s="413"/>
      <c r="S545" s="413"/>
      <c r="T545" s="413"/>
      <c r="U545" s="413"/>
      <c r="V545" s="413"/>
      <c r="W545" s="413"/>
      <c r="X545" s="413"/>
      <c r="Y545" s="413"/>
      <c r="Z545" s="413"/>
    </row>
    <row r="546">
      <c r="A546" s="452"/>
      <c r="B546" s="439"/>
      <c r="C546" s="454"/>
      <c r="D546" s="454"/>
      <c r="E546" s="439"/>
      <c r="F546" s="439"/>
      <c r="G546" s="454"/>
      <c r="H546" s="454"/>
      <c r="I546" s="456"/>
      <c r="J546" s="459"/>
      <c r="K546" s="458"/>
      <c r="L546" s="454"/>
      <c r="M546" s="453"/>
      <c r="N546" s="413"/>
      <c r="O546" s="413"/>
      <c r="P546" s="413"/>
      <c r="Q546" s="413"/>
      <c r="R546" s="413"/>
      <c r="S546" s="413"/>
      <c r="T546" s="413"/>
      <c r="U546" s="413"/>
      <c r="V546" s="413"/>
      <c r="W546" s="413"/>
      <c r="X546" s="413"/>
      <c r="Y546" s="413"/>
      <c r="Z546" s="413"/>
    </row>
    <row r="547">
      <c r="A547" s="452"/>
      <c r="B547" s="439"/>
      <c r="C547" s="454"/>
      <c r="D547" s="454"/>
      <c r="E547" s="439"/>
      <c r="F547" s="439"/>
      <c r="G547" s="454"/>
      <c r="H547" s="454"/>
      <c r="I547" s="456"/>
      <c r="J547" s="459"/>
      <c r="K547" s="458"/>
      <c r="L547" s="454"/>
      <c r="M547" s="453"/>
      <c r="N547" s="413"/>
      <c r="O547" s="413"/>
      <c r="P547" s="413"/>
      <c r="Q547" s="413"/>
      <c r="R547" s="413"/>
      <c r="S547" s="413"/>
      <c r="T547" s="413"/>
      <c r="U547" s="413"/>
      <c r="V547" s="413"/>
      <c r="W547" s="413"/>
      <c r="X547" s="413"/>
      <c r="Y547" s="413"/>
      <c r="Z547" s="413"/>
    </row>
    <row r="548">
      <c r="A548" s="452"/>
      <c r="B548" s="439"/>
      <c r="C548" s="454"/>
      <c r="D548" s="454"/>
      <c r="E548" s="439"/>
      <c r="F548" s="439"/>
      <c r="G548" s="454"/>
      <c r="H548" s="454"/>
      <c r="I548" s="456"/>
      <c r="J548" s="459"/>
      <c r="K548" s="458"/>
      <c r="L548" s="454"/>
      <c r="M548" s="453"/>
      <c r="N548" s="413"/>
      <c r="O548" s="413"/>
      <c r="P548" s="413"/>
      <c r="Q548" s="413"/>
      <c r="R548" s="413"/>
      <c r="S548" s="413"/>
      <c r="T548" s="413"/>
      <c r="U548" s="413"/>
      <c r="V548" s="413"/>
      <c r="W548" s="413"/>
      <c r="X548" s="413"/>
      <c r="Y548" s="413"/>
      <c r="Z548" s="413"/>
    </row>
    <row r="549">
      <c r="A549" s="452"/>
      <c r="B549" s="439"/>
      <c r="C549" s="454"/>
      <c r="D549" s="454"/>
      <c r="E549" s="439"/>
      <c r="F549" s="439"/>
      <c r="G549" s="454"/>
      <c r="H549" s="454"/>
      <c r="I549" s="456"/>
      <c r="J549" s="459"/>
      <c r="K549" s="458"/>
      <c r="L549" s="454"/>
      <c r="M549" s="453"/>
      <c r="N549" s="413"/>
      <c r="O549" s="413"/>
      <c r="P549" s="413"/>
      <c r="Q549" s="413"/>
      <c r="R549" s="413"/>
      <c r="S549" s="413"/>
      <c r="T549" s="413"/>
      <c r="U549" s="413"/>
      <c r="V549" s="413"/>
      <c r="W549" s="413"/>
      <c r="X549" s="413"/>
      <c r="Y549" s="413"/>
      <c r="Z549" s="413"/>
    </row>
    <row r="550">
      <c r="A550" s="452"/>
      <c r="B550" s="439"/>
      <c r="C550" s="454"/>
      <c r="D550" s="454"/>
      <c r="E550" s="439"/>
      <c r="F550" s="439"/>
      <c r="G550" s="454"/>
      <c r="H550" s="454"/>
      <c r="I550" s="456"/>
      <c r="J550" s="459"/>
      <c r="K550" s="458"/>
      <c r="L550" s="454"/>
      <c r="M550" s="453"/>
      <c r="N550" s="413"/>
      <c r="O550" s="413"/>
      <c r="P550" s="413"/>
      <c r="Q550" s="413"/>
      <c r="R550" s="413"/>
      <c r="S550" s="413"/>
      <c r="T550" s="413"/>
      <c r="U550" s="413"/>
      <c r="V550" s="413"/>
      <c r="W550" s="413"/>
      <c r="X550" s="413"/>
      <c r="Y550" s="413"/>
      <c r="Z550" s="413"/>
    </row>
    <row r="551">
      <c r="A551" s="452"/>
      <c r="B551" s="439"/>
      <c r="C551" s="454"/>
      <c r="D551" s="454"/>
      <c r="E551" s="439"/>
      <c r="F551" s="439"/>
      <c r="G551" s="454"/>
      <c r="H551" s="454"/>
      <c r="I551" s="456"/>
      <c r="J551" s="459"/>
      <c r="K551" s="458"/>
      <c r="L551" s="454"/>
      <c r="M551" s="453"/>
      <c r="N551" s="413"/>
      <c r="O551" s="413"/>
      <c r="P551" s="413"/>
      <c r="Q551" s="413"/>
      <c r="R551" s="413"/>
      <c r="S551" s="413"/>
      <c r="T551" s="413"/>
      <c r="U551" s="413"/>
      <c r="V551" s="413"/>
      <c r="W551" s="413"/>
      <c r="X551" s="413"/>
      <c r="Y551" s="413"/>
      <c r="Z551" s="413"/>
    </row>
    <row r="552">
      <c r="A552" s="452"/>
      <c r="B552" s="439"/>
      <c r="C552" s="454"/>
      <c r="D552" s="454"/>
      <c r="E552" s="439"/>
      <c r="F552" s="439"/>
      <c r="G552" s="454"/>
      <c r="H552" s="454"/>
      <c r="I552" s="456"/>
      <c r="J552" s="459"/>
      <c r="K552" s="458"/>
      <c r="L552" s="454"/>
      <c r="M552" s="453"/>
      <c r="N552" s="413"/>
      <c r="O552" s="413"/>
      <c r="P552" s="413"/>
      <c r="Q552" s="413"/>
      <c r="R552" s="413"/>
      <c r="S552" s="413"/>
      <c r="T552" s="413"/>
      <c r="U552" s="413"/>
      <c r="V552" s="413"/>
      <c r="W552" s="413"/>
      <c r="X552" s="413"/>
      <c r="Y552" s="413"/>
      <c r="Z552" s="413"/>
    </row>
    <row r="553">
      <c r="A553" s="452"/>
      <c r="B553" s="439"/>
      <c r="C553" s="454"/>
      <c r="D553" s="454"/>
      <c r="E553" s="439"/>
      <c r="F553" s="439"/>
      <c r="G553" s="454"/>
      <c r="H553" s="454"/>
      <c r="I553" s="456"/>
      <c r="J553" s="459"/>
      <c r="K553" s="458"/>
      <c r="L553" s="454"/>
      <c r="M553" s="453"/>
      <c r="N553" s="413"/>
      <c r="O553" s="413"/>
      <c r="P553" s="413"/>
      <c r="Q553" s="413"/>
      <c r="R553" s="413"/>
      <c r="S553" s="413"/>
      <c r="T553" s="413"/>
      <c r="U553" s="413"/>
      <c r="V553" s="413"/>
      <c r="W553" s="413"/>
      <c r="X553" s="413"/>
      <c r="Y553" s="413"/>
      <c r="Z553" s="413"/>
    </row>
    <row r="554">
      <c r="A554" s="452"/>
      <c r="B554" s="439"/>
      <c r="C554" s="454"/>
      <c r="D554" s="454"/>
      <c r="E554" s="439"/>
      <c r="F554" s="439"/>
      <c r="G554" s="454"/>
      <c r="H554" s="454"/>
      <c r="I554" s="456"/>
      <c r="J554" s="459"/>
      <c r="K554" s="458"/>
      <c r="L554" s="454"/>
      <c r="M554" s="453"/>
      <c r="N554" s="413"/>
      <c r="O554" s="413"/>
      <c r="P554" s="413"/>
      <c r="Q554" s="413"/>
      <c r="R554" s="413"/>
      <c r="S554" s="413"/>
      <c r="T554" s="413"/>
      <c r="U554" s="413"/>
      <c r="V554" s="413"/>
      <c r="W554" s="413"/>
      <c r="X554" s="413"/>
      <c r="Y554" s="413"/>
      <c r="Z554" s="413"/>
    </row>
    <row r="555">
      <c r="A555" s="452"/>
      <c r="B555" s="439"/>
      <c r="C555" s="454"/>
      <c r="D555" s="454"/>
      <c r="E555" s="439"/>
      <c r="F555" s="439"/>
      <c r="G555" s="454"/>
      <c r="H555" s="454"/>
      <c r="I555" s="456"/>
      <c r="J555" s="459"/>
      <c r="K555" s="458"/>
      <c r="L555" s="454"/>
      <c r="M555" s="453"/>
      <c r="N555" s="413"/>
      <c r="O555" s="413"/>
      <c r="P555" s="413"/>
      <c r="Q555" s="413"/>
      <c r="R555" s="413"/>
      <c r="S555" s="413"/>
      <c r="T555" s="413"/>
      <c r="U555" s="413"/>
      <c r="V555" s="413"/>
      <c r="W555" s="413"/>
      <c r="X555" s="413"/>
      <c r="Y555" s="413"/>
      <c r="Z555" s="413"/>
    </row>
    <row r="556">
      <c r="A556" s="452"/>
      <c r="B556" s="439"/>
      <c r="C556" s="454"/>
      <c r="D556" s="454"/>
      <c r="E556" s="439"/>
      <c r="F556" s="439"/>
      <c r="G556" s="454"/>
      <c r="H556" s="454"/>
      <c r="I556" s="456"/>
      <c r="J556" s="459"/>
      <c r="K556" s="458"/>
      <c r="L556" s="454"/>
      <c r="M556" s="453"/>
      <c r="N556" s="413"/>
      <c r="O556" s="413"/>
      <c r="P556" s="413"/>
      <c r="Q556" s="413"/>
      <c r="R556" s="413"/>
      <c r="S556" s="413"/>
      <c r="T556" s="413"/>
      <c r="U556" s="413"/>
      <c r="V556" s="413"/>
      <c r="W556" s="413"/>
      <c r="X556" s="413"/>
      <c r="Y556" s="413"/>
      <c r="Z556" s="413"/>
    </row>
    <row r="557">
      <c r="A557" s="452"/>
      <c r="B557" s="439"/>
      <c r="C557" s="454"/>
      <c r="D557" s="454"/>
      <c r="E557" s="439"/>
      <c r="F557" s="439"/>
      <c r="G557" s="454"/>
      <c r="H557" s="454"/>
      <c r="I557" s="456"/>
      <c r="J557" s="459"/>
      <c r="K557" s="458"/>
      <c r="L557" s="454"/>
      <c r="M557" s="453"/>
      <c r="N557" s="413"/>
      <c r="O557" s="413"/>
      <c r="P557" s="413"/>
      <c r="Q557" s="413"/>
      <c r="R557" s="413"/>
      <c r="S557" s="413"/>
      <c r="T557" s="413"/>
      <c r="U557" s="413"/>
      <c r="V557" s="413"/>
      <c r="W557" s="413"/>
      <c r="X557" s="413"/>
      <c r="Y557" s="413"/>
      <c r="Z557" s="413"/>
    </row>
    <row r="558">
      <c r="A558" s="452"/>
      <c r="B558" s="439"/>
      <c r="C558" s="454"/>
      <c r="D558" s="454"/>
      <c r="E558" s="439"/>
      <c r="F558" s="439"/>
      <c r="G558" s="454"/>
      <c r="H558" s="454"/>
      <c r="I558" s="456"/>
      <c r="J558" s="459"/>
      <c r="K558" s="458"/>
      <c r="L558" s="454"/>
      <c r="M558" s="453"/>
      <c r="N558" s="413"/>
      <c r="O558" s="413"/>
      <c r="P558" s="413"/>
      <c r="Q558" s="413"/>
      <c r="R558" s="413"/>
      <c r="S558" s="413"/>
      <c r="T558" s="413"/>
      <c r="U558" s="413"/>
      <c r="V558" s="413"/>
      <c r="W558" s="413"/>
      <c r="X558" s="413"/>
      <c r="Y558" s="413"/>
      <c r="Z558" s="413"/>
    </row>
    <row r="559">
      <c r="A559" s="452"/>
      <c r="B559" s="439"/>
      <c r="C559" s="454"/>
      <c r="D559" s="454"/>
      <c r="E559" s="439"/>
      <c r="F559" s="439"/>
      <c r="G559" s="454"/>
      <c r="H559" s="454"/>
      <c r="I559" s="456"/>
      <c r="J559" s="459"/>
      <c r="K559" s="458"/>
      <c r="L559" s="454"/>
      <c r="M559" s="453"/>
      <c r="N559" s="413"/>
      <c r="O559" s="413"/>
      <c r="P559" s="413"/>
      <c r="Q559" s="413"/>
      <c r="R559" s="413"/>
      <c r="S559" s="413"/>
      <c r="T559" s="413"/>
      <c r="U559" s="413"/>
      <c r="V559" s="413"/>
      <c r="W559" s="413"/>
      <c r="X559" s="413"/>
      <c r="Y559" s="413"/>
      <c r="Z559" s="413"/>
    </row>
    <row r="560">
      <c r="A560" s="452"/>
      <c r="B560" s="439"/>
      <c r="C560" s="454"/>
      <c r="D560" s="454"/>
      <c r="E560" s="439"/>
      <c r="F560" s="439"/>
      <c r="G560" s="454"/>
      <c r="H560" s="454"/>
      <c r="I560" s="456"/>
      <c r="J560" s="459"/>
      <c r="K560" s="458"/>
      <c r="L560" s="454"/>
      <c r="M560" s="453"/>
      <c r="N560" s="413"/>
      <c r="O560" s="413"/>
      <c r="P560" s="413"/>
      <c r="Q560" s="413"/>
      <c r="R560" s="413"/>
      <c r="S560" s="413"/>
      <c r="T560" s="413"/>
      <c r="U560" s="413"/>
      <c r="V560" s="413"/>
      <c r="W560" s="413"/>
      <c r="X560" s="413"/>
      <c r="Y560" s="413"/>
      <c r="Z560" s="413"/>
    </row>
    <row r="561">
      <c r="A561" s="452"/>
      <c r="B561" s="439"/>
      <c r="C561" s="454"/>
      <c r="D561" s="454"/>
      <c r="E561" s="439"/>
      <c r="F561" s="439"/>
      <c r="G561" s="454"/>
      <c r="H561" s="454"/>
      <c r="I561" s="456"/>
      <c r="J561" s="459"/>
      <c r="K561" s="458"/>
      <c r="L561" s="454"/>
      <c r="M561" s="453"/>
      <c r="N561" s="413"/>
      <c r="O561" s="413"/>
      <c r="P561" s="413"/>
      <c r="Q561" s="413"/>
      <c r="R561" s="413"/>
      <c r="S561" s="413"/>
      <c r="T561" s="413"/>
      <c r="U561" s="413"/>
      <c r="V561" s="413"/>
      <c r="W561" s="413"/>
      <c r="X561" s="413"/>
      <c r="Y561" s="413"/>
      <c r="Z561" s="413"/>
    </row>
    <row r="562">
      <c r="A562" s="452"/>
      <c r="B562" s="439"/>
      <c r="C562" s="454"/>
      <c r="D562" s="454"/>
      <c r="E562" s="439"/>
      <c r="F562" s="439"/>
      <c r="G562" s="454"/>
      <c r="H562" s="454"/>
      <c r="I562" s="456"/>
      <c r="J562" s="459"/>
      <c r="K562" s="458"/>
      <c r="L562" s="454"/>
      <c r="M562" s="453"/>
      <c r="N562" s="413"/>
      <c r="O562" s="413"/>
      <c r="P562" s="413"/>
      <c r="Q562" s="413"/>
      <c r="R562" s="413"/>
      <c r="S562" s="413"/>
      <c r="T562" s="413"/>
      <c r="U562" s="413"/>
      <c r="V562" s="413"/>
      <c r="W562" s="413"/>
      <c r="X562" s="413"/>
      <c r="Y562" s="413"/>
      <c r="Z562" s="413"/>
    </row>
    <row r="563">
      <c r="A563" s="452"/>
      <c r="B563" s="439"/>
      <c r="C563" s="454"/>
      <c r="D563" s="454"/>
      <c r="E563" s="439"/>
      <c r="F563" s="439"/>
      <c r="G563" s="454"/>
      <c r="H563" s="454"/>
      <c r="I563" s="456"/>
      <c r="J563" s="459"/>
      <c r="K563" s="458"/>
      <c r="L563" s="454"/>
      <c r="M563" s="453"/>
      <c r="N563" s="413"/>
      <c r="O563" s="413"/>
      <c r="P563" s="413"/>
      <c r="Q563" s="413"/>
      <c r="R563" s="413"/>
      <c r="S563" s="413"/>
      <c r="T563" s="413"/>
      <c r="U563" s="413"/>
      <c r="V563" s="413"/>
      <c r="W563" s="413"/>
      <c r="X563" s="413"/>
      <c r="Y563" s="413"/>
      <c r="Z563" s="413"/>
    </row>
    <row r="564">
      <c r="A564" s="452"/>
      <c r="B564" s="439"/>
      <c r="C564" s="454"/>
      <c r="D564" s="454"/>
      <c r="E564" s="439"/>
      <c r="F564" s="439"/>
      <c r="G564" s="454"/>
      <c r="H564" s="454"/>
      <c r="I564" s="456"/>
      <c r="J564" s="459"/>
      <c r="K564" s="458"/>
      <c r="L564" s="454"/>
      <c r="M564" s="453"/>
      <c r="N564" s="413"/>
      <c r="O564" s="413"/>
      <c r="P564" s="413"/>
      <c r="Q564" s="413"/>
      <c r="R564" s="413"/>
      <c r="S564" s="413"/>
      <c r="T564" s="413"/>
      <c r="U564" s="413"/>
      <c r="V564" s="413"/>
      <c r="W564" s="413"/>
      <c r="X564" s="413"/>
      <c r="Y564" s="413"/>
      <c r="Z564" s="413"/>
    </row>
    <row r="565">
      <c r="A565" s="452"/>
      <c r="B565" s="439"/>
      <c r="C565" s="454"/>
      <c r="D565" s="454"/>
      <c r="E565" s="439"/>
      <c r="F565" s="439"/>
      <c r="G565" s="454"/>
      <c r="H565" s="454"/>
      <c r="I565" s="456"/>
      <c r="J565" s="459"/>
      <c r="K565" s="458"/>
      <c r="L565" s="454"/>
      <c r="M565" s="453"/>
      <c r="N565" s="413"/>
      <c r="O565" s="413"/>
      <c r="P565" s="413"/>
      <c r="Q565" s="413"/>
      <c r="R565" s="413"/>
      <c r="S565" s="413"/>
      <c r="T565" s="413"/>
      <c r="U565" s="413"/>
      <c r="V565" s="413"/>
      <c r="W565" s="413"/>
      <c r="X565" s="413"/>
      <c r="Y565" s="413"/>
      <c r="Z565" s="413"/>
    </row>
    <row r="566">
      <c r="A566" s="452"/>
      <c r="B566" s="439"/>
      <c r="C566" s="454"/>
      <c r="D566" s="454"/>
      <c r="E566" s="439"/>
      <c r="F566" s="439"/>
      <c r="G566" s="454"/>
      <c r="H566" s="454"/>
      <c r="I566" s="456"/>
      <c r="J566" s="459"/>
      <c r="K566" s="458"/>
      <c r="L566" s="454"/>
      <c r="M566" s="453"/>
      <c r="N566" s="413"/>
      <c r="O566" s="413"/>
      <c r="P566" s="413"/>
      <c r="Q566" s="413"/>
      <c r="R566" s="413"/>
      <c r="S566" s="413"/>
      <c r="T566" s="413"/>
      <c r="U566" s="413"/>
      <c r="V566" s="413"/>
      <c r="W566" s="413"/>
      <c r="X566" s="413"/>
      <c r="Y566" s="413"/>
      <c r="Z566" s="413"/>
    </row>
    <row r="567">
      <c r="A567" s="452"/>
      <c r="B567" s="439"/>
      <c r="C567" s="454"/>
      <c r="D567" s="454"/>
      <c r="E567" s="439"/>
      <c r="F567" s="439"/>
      <c r="G567" s="454"/>
      <c r="H567" s="454"/>
      <c r="I567" s="456"/>
      <c r="J567" s="459"/>
      <c r="K567" s="458"/>
      <c r="L567" s="454"/>
      <c r="M567" s="453"/>
      <c r="N567" s="413"/>
      <c r="O567" s="413"/>
      <c r="P567" s="413"/>
      <c r="Q567" s="413"/>
      <c r="R567" s="413"/>
      <c r="S567" s="413"/>
      <c r="T567" s="413"/>
      <c r="U567" s="413"/>
      <c r="V567" s="413"/>
      <c r="W567" s="413"/>
      <c r="X567" s="413"/>
      <c r="Y567" s="413"/>
      <c r="Z567" s="413"/>
    </row>
    <row r="568">
      <c r="A568" s="452"/>
      <c r="B568" s="439"/>
      <c r="C568" s="454"/>
      <c r="D568" s="454"/>
      <c r="E568" s="439"/>
      <c r="F568" s="439"/>
      <c r="G568" s="454"/>
      <c r="H568" s="454"/>
      <c r="I568" s="456"/>
      <c r="J568" s="459"/>
      <c r="K568" s="458"/>
      <c r="L568" s="454"/>
      <c r="M568" s="453"/>
      <c r="N568" s="413"/>
      <c r="O568" s="413"/>
      <c r="P568" s="413"/>
      <c r="Q568" s="413"/>
      <c r="R568" s="413"/>
      <c r="S568" s="413"/>
      <c r="T568" s="413"/>
      <c r="U568" s="413"/>
      <c r="V568" s="413"/>
      <c r="W568" s="413"/>
      <c r="X568" s="413"/>
      <c r="Y568" s="413"/>
      <c r="Z568" s="413"/>
    </row>
    <row r="569">
      <c r="A569" s="452"/>
      <c r="B569" s="439"/>
      <c r="C569" s="454"/>
      <c r="D569" s="454"/>
      <c r="E569" s="439"/>
      <c r="F569" s="439"/>
      <c r="G569" s="454"/>
      <c r="H569" s="454"/>
      <c r="I569" s="456"/>
      <c r="J569" s="459"/>
      <c r="K569" s="458"/>
      <c r="L569" s="454"/>
      <c r="M569" s="453"/>
      <c r="N569" s="413"/>
      <c r="O569" s="413"/>
      <c r="P569" s="413"/>
      <c r="Q569" s="413"/>
      <c r="R569" s="413"/>
      <c r="S569" s="413"/>
      <c r="T569" s="413"/>
      <c r="U569" s="413"/>
      <c r="V569" s="413"/>
      <c r="W569" s="413"/>
      <c r="X569" s="413"/>
      <c r="Y569" s="413"/>
      <c r="Z569" s="413"/>
    </row>
    <row r="570">
      <c r="A570" s="452"/>
      <c r="B570" s="439"/>
      <c r="C570" s="454"/>
      <c r="D570" s="454"/>
      <c r="E570" s="439"/>
      <c r="F570" s="439"/>
      <c r="G570" s="454"/>
      <c r="H570" s="454"/>
      <c r="I570" s="456"/>
      <c r="J570" s="459"/>
      <c r="K570" s="458"/>
      <c r="L570" s="454"/>
      <c r="M570" s="453"/>
      <c r="N570" s="413"/>
      <c r="O570" s="413"/>
      <c r="P570" s="413"/>
      <c r="Q570" s="413"/>
      <c r="R570" s="413"/>
      <c r="S570" s="413"/>
      <c r="T570" s="413"/>
      <c r="U570" s="413"/>
      <c r="V570" s="413"/>
      <c r="W570" s="413"/>
      <c r="X570" s="413"/>
      <c r="Y570" s="413"/>
      <c r="Z570" s="413"/>
    </row>
    <row r="571">
      <c r="A571" s="452"/>
      <c r="B571" s="439"/>
      <c r="C571" s="454"/>
      <c r="D571" s="454"/>
      <c r="E571" s="439"/>
      <c r="F571" s="439"/>
      <c r="G571" s="454"/>
      <c r="H571" s="454"/>
      <c r="I571" s="456"/>
      <c r="J571" s="459"/>
      <c r="K571" s="458"/>
      <c r="L571" s="454"/>
      <c r="M571" s="453"/>
      <c r="N571" s="413"/>
      <c r="O571" s="413"/>
      <c r="P571" s="413"/>
      <c r="Q571" s="413"/>
      <c r="R571" s="413"/>
      <c r="S571" s="413"/>
      <c r="T571" s="413"/>
      <c r="U571" s="413"/>
      <c r="V571" s="413"/>
      <c r="W571" s="413"/>
      <c r="X571" s="413"/>
      <c r="Y571" s="413"/>
      <c r="Z571" s="413"/>
    </row>
    <row r="572">
      <c r="A572" s="452"/>
      <c r="B572" s="439"/>
      <c r="C572" s="454"/>
      <c r="D572" s="454"/>
      <c r="E572" s="439"/>
      <c r="F572" s="439"/>
      <c r="G572" s="454"/>
      <c r="H572" s="454"/>
      <c r="I572" s="456"/>
      <c r="J572" s="459"/>
      <c r="K572" s="458"/>
      <c r="L572" s="454"/>
      <c r="M572" s="453"/>
      <c r="N572" s="413"/>
      <c r="O572" s="413"/>
      <c r="P572" s="413"/>
      <c r="Q572" s="413"/>
      <c r="R572" s="413"/>
      <c r="S572" s="413"/>
      <c r="T572" s="413"/>
      <c r="U572" s="413"/>
      <c r="V572" s="413"/>
      <c r="W572" s="413"/>
      <c r="X572" s="413"/>
      <c r="Y572" s="413"/>
      <c r="Z572" s="413"/>
    </row>
    <row r="573">
      <c r="A573" s="452"/>
      <c r="B573" s="439"/>
      <c r="C573" s="454"/>
      <c r="D573" s="454"/>
      <c r="E573" s="439"/>
      <c r="F573" s="439"/>
      <c r="G573" s="454"/>
      <c r="H573" s="454"/>
      <c r="I573" s="456"/>
      <c r="J573" s="459"/>
      <c r="K573" s="458"/>
      <c r="L573" s="454"/>
      <c r="M573" s="453"/>
      <c r="N573" s="413"/>
      <c r="O573" s="413"/>
      <c r="P573" s="413"/>
      <c r="Q573" s="413"/>
      <c r="R573" s="413"/>
      <c r="S573" s="413"/>
      <c r="T573" s="413"/>
      <c r="U573" s="413"/>
      <c r="V573" s="413"/>
      <c r="W573" s="413"/>
      <c r="X573" s="413"/>
      <c r="Y573" s="413"/>
      <c r="Z573" s="413"/>
    </row>
    <row r="574">
      <c r="A574" s="452"/>
      <c r="B574" s="439"/>
      <c r="C574" s="454"/>
      <c r="D574" s="454"/>
      <c r="E574" s="439"/>
      <c r="F574" s="439"/>
      <c r="G574" s="454"/>
      <c r="H574" s="454"/>
      <c r="I574" s="456"/>
      <c r="J574" s="459"/>
      <c r="K574" s="458"/>
      <c r="L574" s="454"/>
      <c r="M574" s="453"/>
      <c r="N574" s="413"/>
      <c r="O574" s="413"/>
      <c r="P574" s="413"/>
      <c r="Q574" s="413"/>
      <c r="R574" s="413"/>
      <c r="S574" s="413"/>
      <c r="T574" s="413"/>
      <c r="U574" s="413"/>
      <c r="V574" s="413"/>
      <c r="W574" s="413"/>
      <c r="X574" s="413"/>
      <c r="Y574" s="413"/>
      <c r="Z574" s="413"/>
    </row>
    <row r="575">
      <c r="A575" s="452"/>
      <c r="B575" s="439"/>
      <c r="C575" s="454"/>
      <c r="D575" s="454"/>
      <c r="E575" s="439"/>
      <c r="F575" s="439"/>
      <c r="G575" s="454"/>
      <c r="H575" s="454"/>
      <c r="I575" s="456"/>
      <c r="J575" s="459"/>
      <c r="K575" s="458"/>
      <c r="L575" s="454"/>
      <c r="M575" s="453"/>
      <c r="N575" s="413"/>
      <c r="O575" s="413"/>
      <c r="P575" s="413"/>
      <c r="Q575" s="413"/>
      <c r="R575" s="413"/>
      <c r="S575" s="413"/>
      <c r="T575" s="413"/>
      <c r="U575" s="413"/>
      <c r="V575" s="413"/>
      <c r="W575" s="413"/>
      <c r="X575" s="413"/>
      <c r="Y575" s="413"/>
      <c r="Z575" s="413"/>
    </row>
    <row r="576">
      <c r="A576" s="452"/>
      <c r="B576" s="439"/>
      <c r="C576" s="454"/>
      <c r="D576" s="454"/>
      <c r="E576" s="439"/>
      <c r="F576" s="439"/>
      <c r="G576" s="454"/>
      <c r="H576" s="454"/>
      <c r="I576" s="456"/>
      <c r="J576" s="459"/>
      <c r="K576" s="458"/>
      <c r="L576" s="454"/>
      <c r="M576" s="453"/>
      <c r="N576" s="413"/>
      <c r="O576" s="413"/>
      <c r="P576" s="413"/>
      <c r="Q576" s="413"/>
      <c r="R576" s="413"/>
      <c r="S576" s="413"/>
      <c r="T576" s="413"/>
      <c r="U576" s="413"/>
      <c r="V576" s="413"/>
      <c r="W576" s="413"/>
      <c r="X576" s="413"/>
      <c r="Y576" s="413"/>
      <c r="Z576" s="413"/>
    </row>
    <row r="577">
      <c r="A577" s="452"/>
      <c r="B577" s="439"/>
      <c r="C577" s="454"/>
      <c r="D577" s="454"/>
      <c r="E577" s="439"/>
      <c r="F577" s="439"/>
      <c r="G577" s="454"/>
      <c r="H577" s="454"/>
      <c r="I577" s="456"/>
      <c r="J577" s="459"/>
      <c r="K577" s="458"/>
      <c r="L577" s="454"/>
      <c r="M577" s="453"/>
      <c r="N577" s="413"/>
      <c r="O577" s="413"/>
      <c r="P577" s="413"/>
      <c r="Q577" s="413"/>
      <c r="R577" s="413"/>
      <c r="S577" s="413"/>
      <c r="T577" s="413"/>
      <c r="U577" s="413"/>
      <c r="V577" s="413"/>
      <c r="W577" s="413"/>
      <c r="X577" s="413"/>
      <c r="Y577" s="413"/>
      <c r="Z577" s="413"/>
    </row>
    <row r="578">
      <c r="A578" s="452"/>
      <c r="B578" s="439"/>
      <c r="C578" s="454"/>
      <c r="D578" s="454"/>
      <c r="E578" s="439"/>
      <c r="F578" s="439"/>
      <c r="G578" s="454"/>
      <c r="H578" s="454"/>
      <c r="I578" s="456"/>
      <c r="J578" s="459"/>
      <c r="K578" s="458"/>
      <c r="L578" s="454"/>
      <c r="M578" s="453"/>
      <c r="N578" s="413"/>
      <c r="O578" s="413"/>
      <c r="P578" s="413"/>
      <c r="Q578" s="413"/>
      <c r="R578" s="413"/>
      <c r="S578" s="413"/>
      <c r="T578" s="413"/>
      <c r="U578" s="413"/>
      <c r="V578" s="413"/>
      <c r="W578" s="413"/>
      <c r="X578" s="413"/>
      <c r="Y578" s="413"/>
      <c r="Z578" s="413"/>
    </row>
    <row r="579">
      <c r="A579" s="452"/>
      <c r="B579" s="439"/>
      <c r="C579" s="454"/>
      <c r="D579" s="454"/>
      <c r="E579" s="439"/>
      <c r="F579" s="439"/>
      <c r="G579" s="454"/>
      <c r="H579" s="454"/>
      <c r="I579" s="456"/>
      <c r="J579" s="459"/>
      <c r="K579" s="458"/>
      <c r="L579" s="454"/>
      <c r="M579" s="453"/>
      <c r="N579" s="413"/>
      <c r="O579" s="413"/>
      <c r="P579" s="413"/>
      <c r="Q579" s="413"/>
      <c r="R579" s="413"/>
      <c r="S579" s="413"/>
      <c r="T579" s="413"/>
      <c r="U579" s="413"/>
      <c r="V579" s="413"/>
      <c r="W579" s="413"/>
      <c r="X579" s="413"/>
      <c r="Y579" s="413"/>
      <c r="Z579" s="413"/>
    </row>
    <row r="580">
      <c r="A580" s="452"/>
      <c r="B580" s="439"/>
      <c r="C580" s="454"/>
      <c r="D580" s="454"/>
      <c r="E580" s="439"/>
      <c r="F580" s="439"/>
      <c r="G580" s="454"/>
      <c r="H580" s="454"/>
      <c r="I580" s="456"/>
      <c r="J580" s="459"/>
      <c r="K580" s="458"/>
      <c r="L580" s="454"/>
      <c r="M580" s="453"/>
      <c r="N580" s="413"/>
      <c r="O580" s="413"/>
      <c r="P580" s="413"/>
      <c r="Q580" s="413"/>
      <c r="R580" s="413"/>
      <c r="S580" s="413"/>
      <c r="T580" s="413"/>
      <c r="U580" s="413"/>
      <c r="V580" s="413"/>
      <c r="W580" s="413"/>
      <c r="X580" s="413"/>
      <c r="Y580" s="413"/>
      <c r="Z580" s="413"/>
    </row>
    <row r="581">
      <c r="A581" s="452"/>
      <c r="B581" s="439"/>
      <c r="C581" s="454"/>
      <c r="D581" s="454"/>
      <c r="E581" s="439"/>
      <c r="F581" s="439"/>
      <c r="G581" s="454"/>
      <c r="H581" s="454"/>
      <c r="I581" s="456"/>
      <c r="J581" s="459"/>
      <c r="K581" s="458"/>
      <c r="L581" s="454"/>
      <c r="M581" s="453"/>
      <c r="N581" s="413"/>
      <c r="O581" s="413"/>
      <c r="P581" s="413"/>
      <c r="Q581" s="413"/>
      <c r="R581" s="413"/>
      <c r="S581" s="413"/>
      <c r="T581" s="413"/>
      <c r="U581" s="413"/>
      <c r="V581" s="413"/>
      <c r="W581" s="413"/>
      <c r="X581" s="413"/>
      <c r="Y581" s="413"/>
      <c r="Z581" s="413"/>
    </row>
    <row r="582">
      <c r="A582" s="452"/>
      <c r="B582" s="439"/>
      <c r="C582" s="454"/>
      <c r="D582" s="454"/>
      <c r="E582" s="439"/>
      <c r="F582" s="439"/>
      <c r="G582" s="454"/>
      <c r="H582" s="454"/>
      <c r="I582" s="456"/>
      <c r="J582" s="459"/>
      <c r="K582" s="458"/>
      <c r="L582" s="454"/>
      <c r="M582" s="453"/>
      <c r="N582" s="413"/>
      <c r="O582" s="413"/>
      <c r="P582" s="413"/>
      <c r="Q582" s="413"/>
      <c r="R582" s="413"/>
      <c r="S582" s="413"/>
      <c r="T582" s="413"/>
      <c r="U582" s="413"/>
      <c r="V582" s="413"/>
      <c r="W582" s="413"/>
      <c r="X582" s="413"/>
      <c r="Y582" s="413"/>
      <c r="Z582" s="413"/>
    </row>
    <row r="583">
      <c r="A583" s="452"/>
      <c r="B583" s="439"/>
      <c r="C583" s="454"/>
      <c r="D583" s="454"/>
      <c r="E583" s="439"/>
      <c r="F583" s="439"/>
      <c r="G583" s="454"/>
      <c r="H583" s="454"/>
      <c r="I583" s="456"/>
      <c r="J583" s="459"/>
      <c r="K583" s="458"/>
      <c r="L583" s="454"/>
      <c r="M583" s="453"/>
      <c r="N583" s="413"/>
      <c r="O583" s="413"/>
      <c r="P583" s="413"/>
      <c r="Q583" s="413"/>
      <c r="R583" s="413"/>
      <c r="S583" s="413"/>
      <c r="T583" s="413"/>
      <c r="U583" s="413"/>
      <c r="V583" s="413"/>
      <c r="W583" s="413"/>
      <c r="X583" s="413"/>
      <c r="Y583" s="413"/>
      <c r="Z583" s="413"/>
    </row>
    <row r="584">
      <c r="A584" s="452"/>
      <c r="B584" s="439"/>
      <c r="C584" s="454"/>
      <c r="D584" s="454"/>
      <c r="E584" s="439"/>
      <c r="F584" s="439"/>
      <c r="G584" s="454"/>
      <c r="H584" s="454"/>
      <c r="I584" s="456"/>
      <c r="J584" s="459"/>
      <c r="K584" s="458"/>
      <c r="L584" s="454"/>
      <c r="M584" s="453"/>
      <c r="N584" s="413"/>
      <c r="O584" s="413"/>
      <c r="P584" s="413"/>
      <c r="Q584" s="413"/>
      <c r="R584" s="413"/>
      <c r="S584" s="413"/>
      <c r="T584" s="413"/>
      <c r="U584" s="413"/>
      <c r="V584" s="413"/>
      <c r="W584" s="413"/>
      <c r="X584" s="413"/>
      <c r="Y584" s="413"/>
      <c r="Z584" s="413"/>
    </row>
    <row r="585">
      <c r="A585" s="452"/>
      <c r="B585" s="439"/>
      <c r="C585" s="454"/>
      <c r="D585" s="454"/>
      <c r="E585" s="439"/>
      <c r="F585" s="439"/>
      <c r="G585" s="454"/>
      <c r="H585" s="454"/>
      <c r="I585" s="456"/>
      <c r="J585" s="459"/>
      <c r="K585" s="458"/>
      <c r="L585" s="454"/>
      <c r="M585" s="453"/>
      <c r="N585" s="413"/>
      <c r="O585" s="413"/>
      <c r="P585" s="413"/>
      <c r="Q585" s="413"/>
      <c r="R585" s="413"/>
      <c r="S585" s="413"/>
      <c r="T585" s="413"/>
      <c r="U585" s="413"/>
      <c r="V585" s="413"/>
      <c r="W585" s="413"/>
      <c r="X585" s="413"/>
      <c r="Y585" s="413"/>
      <c r="Z585" s="413"/>
    </row>
    <row r="586">
      <c r="A586" s="452"/>
      <c r="B586" s="439"/>
      <c r="C586" s="454"/>
      <c r="D586" s="454"/>
      <c r="E586" s="439"/>
      <c r="F586" s="439"/>
      <c r="G586" s="454"/>
      <c r="H586" s="454"/>
      <c r="I586" s="456"/>
      <c r="J586" s="459"/>
      <c r="K586" s="458"/>
      <c r="L586" s="454"/>
      <c r="M586" s="453"/>
      <c r="N586" s="413"/>
      <c r="O586" s="413"/>
      <c r="P586" s="413"/>
      <c r="Q586" s="413"/>
      <c r="R586" s="413"/>
      <c r="S586" s="413"/>
      <c r="T586" s="413"/>
      <c r="U586" s="413"/>
      <c r="V586" s="413"/>
      <c r="W586" s="413"/>
      <c r="X586" s="413"/>
      <c r="Y586" s="413"/>
      <c r="Z586" s="413"/>
    </row>
    <row r="587">
      <c r="A587" s="452"/>
      <c r="B587" s="439"/>
      <c r="C587" s="454"/>
      <c r="D587" s="454"/>
      <c r="E587" s="439"/>
      <c r="F587" s="439"/>
      <c r="G587" s="454"/>
      <c r="H587" s="454"/>
      <c r="I587" s="456"/>
      <c r="J587" s="459"/>
      <c r="K587" s="458"/>
      <c r="L587" s="454"/>
      <c r="M587" s="453"/>
      <c r="N587" s="413"/>
      <c r="O587" s="413"/>
      <c r="P587" s="413"/>
      <c r="Q587" s="413"/>
      <c r="R587" s="413"/>
      <c r="S587" s="413"/>
      <c r="T587" s="413"/>
      <c r="U587" s="413"/>
      <c r="V587" s="413"/>
      <c r="W587" s="413"/>
      <c r="X587" s="413"/>
      <c r="Y587" s="413"/>
      <c r="Z587" s="413"/>
    </row>
    <row r="588">
      <c r="A588" s="452"/>
      <c r="B588" s="439"/>
      <c r="C588" s="454"/>
      <c r="D588" s="454"/>
      <c r="E588" s="439"/>
      <c r="F588" s="439"/>
      <c r="G588" s="454"/>
      <c r="H588" s="454"/>
      <c r="I588" s="456"/>
      <c r="J588" s="459"/>
      <c r="K588" s="458"/>
      <c r="L588" s="454"/>
      <c r="M588" s="453"/>
      <c r="N588" s="413"/>
      <c r="O588" s="413"/>
      <c r="P588" s="413"/>
      <c r="Q588" s="413"/>
      <c r="R588" s="413"/>
      <c r="S588" s="413"/>
      <c r="T588" s="413"/>
      <c r="U588" s="413"/>
      <c r="V588" s="413"/>
      <c r="W588" s="413"/>
      <c r="X588" s="413"/>
      <c r="Y588" s="413"/>
      <c r="Z588" s="413"/>
    </row>
    <row r="589">
      <c r="A589" s="452"/>
      <c r="B589" s="439"/>
      <c r="C589" s="454"/>
      <c r="D589" s="454"/>
      <c r="E589" s="439"/>
      <c r="F589" s="439"/>
      <c r="G589" s="454"/>
      <c r="H589" s="454"/>
      <c r="I589" s="456"/>
      <c r="J589" s="459"/>
      <c r="K589" s="458"/>
      <c r="L589" s="454"/>
      <c r="M589" s="453"/>
      <c r="N589" s="413"/>
      <c r="O589" s="413"/>
      <c r="P589" s="413"/>
      <c r="Q589" s="413"/>
      <c r="R589" s="413"/>
      <c r="S589" s="413"/>
      <c r="T589" s="413"/>
      <c r="U589" s="413"/>
      <c r="V589" s="413"/>
      <c r="W589" s="413"/>
      <c r="X589" s="413"/>
      <c r="Y589" s="413"/>
      <c r="Z589" s="413"/>
    </row>
    <row r="590">
      <c r="A590" s="452"/>
      <c r="B590" s="439"/>
      <c r="C590" s="454"/>
      <c r="D590" s="454"/>
      <c r="E590" s="439"/>
      <c r="F590" s="439"/>
      <c r="G590" s="454"/>
      <c r="H590" s="454"/>
      <c r="I590" s="456"/>
      <c r="J590" s="459"/>
      <c r="K590" s="458"/>
      <c r="L590" s="454"/>
      <c r="M590" s="453"/>
      <c r="N590" s="413"/>
      <c r="O590" s="413"/>
      <c r="P590" s="413"/>
      <c r="Q590" s="413"/>
      <c r="R590" s="413"/>
      <c r="S590" s="413"/>
      <c r="T590" s="413"/>
      <c r="U590" s="413"/>
      <c r="V590" s="413"/>
      <c r="W590" s="413"/>
      <c r="X590" s="413"/>
      <c r="Y590" s="413"/>
      <c r="Z590" s="413"/>
    </row>
    <row r="591">
      <c r="A591" s="452"/>
      <c r="B591" s="439"/>
      <c r="C591" s="454"/>
      <c r="D591" s="454"/>
      <c r="E591" s="439"/>
      <c r="F591" s="439"/>
      <c r="G591" s="454"/>
      <c r="H591" s="454"/>
      <c r="I591" s="456"/>
      <c r="J591" s="459"/>
      <c r="K591" s="458"/>
      <c r="L591" s="454"/>
      <c r="M591" s="453"/>
      <c r="N591" s="413"/>
      <c r="O591" s="413"/>
      <c r="P591" s="413"/>
      <c r="Q591" s="413"/>
      <c r="R591" s="413"/>
      <c r="S591" s="413"/>
      <c r="T591" s="413"/>
      <c r="U591" s="413"/>
      <c r="V591" s="413"/>
      <c r="W591" s="413"/>
      <c r="X591" s="413"/>
      <c r="Y591" s="413"/>
      <c r="Z591" s="413"/>
    </row>
    <row r="592">
      <c r="A592" s="452"/>
      <c r="B592" s="439"/>
      <c r="C592" s="454"/>
      <c r="D592" s="454"/>
      <c r="E592" s="439"/>
      <c r="F592" s="439"/>
      <c r="G592" s="454"/>
      <c r="H592" s="454"/>
      <c r="I592" s="456"/>
      <c r="J592" s="459"/>
      <c r="K592" s="458"/>
      <c r="L592" s="454"/>
      <c r="M592" s="453"/>
      <c r="N592" s="413"/>
      <c r="O592" s="413"/>
      <c r="P592" s="413"/>
      <c r="Q592" s="413"/>
      <c r="R592" s="413"/>
      <c r="S592" s="413"/>
      <c r="T592" s="413"/>
      <c r="U592" s="413"/>
      <c r="V592" s="413"/>
      <c r="W592" s="413"/>
      <c r="X592" s="413"/>
      <c r="Y592" s="413"/>
      <c r="Z592" s="413"/>
    </row>
    <row r="593">
      <c r="A593" s="452"/>
      <c r="B593" s="439"/>
      <c r="C593" s="454"/>
      <c r="D593" s="454"/>
      <c r="E593" s="439"/>
      <c r="F593" s="439"/>
      <c r="G593" s="454"/>
      <c r="H593" s="454"/>
      <c r="I593" s="456"/>
      <c r="J593" s="459"/>
      <c r="K593" s="458"/>
      <c r="L593" s="454"/>
      <c r="M593" s="453"/>
      <c r="N593" s="413"/>
      <c r="O593" s="413"/>
      <c r="P593" s="413"/>
      <c r="Q593" s="413"/>
      <c r="R593" s="413"/>
      <c r="S593" s="413"/>
      <c r="T593" s="413"/>
      <c r="U593" s="413"/>
      <c r="V593" s="413"/>
      <c r="W593" s="413"/>
      <c r="X593" s="413"/>
      <c r="Y593" s="413"/>
      <c r="Z593" s="413"/>
    </row>
    <row r="594">
      <c r="A594" s="452"/>
      <c r="B594" s="439"/>
      <c r="C594" s="454"/>
      <c r="D594" s="454"/>
      <c r="E594" s="439"/>
      <c r="F594" s="439"/>
      <c r="G594" s="454"/>
      <c r="H594" s="454"/>
      <c r="I594" s="456"/>
      <c r="J594" s="459"/>
      <c r="K594" s="458"/>
      <c r="L594" s="454"/>
      <c r="M594" s="453"/>
      <c r="N594" s="413"/>
      <c r="O594" s="413"/>
      <c r="P594" s="413"/>
      <c r="Q594" s="413"/>
      <c r="R594" s="413"/>
      <c r="S594" s="413"/>
      <c r="T594" s="413"/>
      <c r="U594" s="413"/>
      <c r="V594" s="413"/>
      <c r="W594" s="413"/>
      <c r="X594" s="413"/>
      <c r="Y594" s="413"/>
      <c r="Z594" s="413"/>
    </row>
    <row r="595">
      <c r="A595" s="452"/>
      <c r="B595" s="439"/>
      <c r="C595" s="454"/>
      <c r="D595" s="454"/>
      <c r="E595" s="439"/>
      <c r="F595" s="439"/>
      <c r="G595" s="454"/>
      <c r="H595" s="454"/>
      <c r="I595" s="456"/>
      <c r="J595" s="459"/>
      <c r="K595" s="458"/>
      <c r="L595" s="454"/>
      <c r="M595" s="453"/>
      <c r="N595" s="413"/>
      <c r="O595" s="413"/>
      <c r="P595" s="413"/>
      <c r="Q595" s="413"/>
      <c r="R595" s="413"/>
      <c r="S595" s="413"/>
      <c r="T595" s="413"/>
      <c r="U595" s="413"/>
      <c r="V595" s="413"/>
      <c r="W595" s="413"/>
      <c r="X595" s="413"/>
      <c r="Y595" s="413"/>
      <c r="Z595" s="413"/>
    </row>
    <row r="596">
      <c r="A596" s="452"/>
      <c r="B596" s="439"/>
      <c r="C596" s="454"/>
      <c r="D596" s="454"/>
      <c r="E596" s="439"/>
      <c r="F596" s="439"/>
      <c r="G596" s="454"/>
      <c r="H596" s="454"/>
      <c r="I596" s="456"/>
      <c r="J596" s="459"/>
      <c r="K596" s="458"/>
      <c r="L596" s="454"/>
      <c r="M596" s="453"/>
      <c r="N596" s="413"/>
      <c r="O596" s="413"/>
      <c r="P596" s="413"/>
      <c r="Q596" s="413"/>
      <c r="R596" s="413"/>
      <c r="S596" s="413"/>
      <c r="T596" s="413"/>
      <c r="U596" s="413"/>
      <c r="V596" s="413"/>
      <c r="W596" s="413"/>
      <c r="X596" s="413"/>
      <c r="Y596" s="413"/>
      <c r="Z596" s="413"/>
    </row>
    <row r="597">
      <c r="A597" s="452"/>
      <c r="B597" s="439"/>
      <c r="C597" s="454"/>
      <c r="D597" s="454"/>
      <c r="E597" s="439"/>
      <c r="F597" s="439"/>
      <c r="G597" s="454"/>
      <c r="H597" s="454"/>
      <c r="I597" s="456"/>
      <c r="J597" s="459"/>
      <c r="K597" s="458"/>
      <c r="L597" s="454"/>
      <c r="M597" s="453"/>
      <c r="N597" s="413"/>
      <c r="O597" s="413"/>
      <c r="P597" s="413"/>
      <c r="Q597" s="413"/>
      <c r="R597" s="413"/>
      <c r="S597" s="413"/>
      <c r="T597" s="413"/>
      <c r="U597" s="413"/>
      <c r="V597" s="413"/>
      <c r="W597" s="413"/>
      <c r="X597" s="413"/>
      <c r="Y597" s="413"/>
      <c r="Z597" s="413"/>
    </row>
    <row r="598">
      <c r="A598" s="452"/>
      <c r="B598" s="439"/>
      <c r="C598" s="454"/>
      <c r="D598" s="454"/>
      <c r="E598" s="439"/>
      <c r="F598" s="439"/>
      <c r="G598" s="454"/>
      <c r="H598" s="454"/>
      <c r="I598" s="456"/>
      <c r="J598" s="459"/>
      <c r="K598" s="458"/>
      <c r="L598" s="454"/>
      <c r="M598" s="453"/>
      <c r="N598" s="413"/>
      <c r="O598" s="413"/>
      <c r="P598" s="413"/>
      <c r="Q598" s="413"/>
      <c r="R598" s="413"/>
      <c r="S598" s="413"/>
      <c r="T598" s="413"/>
      <c r="U598" s="413"/>
      <c r="V598" s="413"/>
      <c r="W598" s="413"/>
      <c r="X598" s="413"/>
      <c r="Y598" s="413"/>
      <c r="Z598" s="413"/>
    </row>
    <row r="599">
      <c r="A599" s="452"/>
      <c r="B599" s="439"/>
      <c r="C599" s="454"/>
      <c r="D599" s="454"/>
      <c r="E599" s="439"/>
      <c r="F599" s="439"/>
      <c r="G599" s="454"/>
      <c r="H599" s="454"/>
      <c r="I599" s="456"/>
      <c r="J599" s="459"/>
      <c r="K599" s="458"/>
      <c r="L599" s="454"/>
      <c r="M599" s="453"/>
      <c r="N599" s="413"/>
      <c r="O599" s="413"/>
      <c r="P599" s="413"/>
      <c r="Q599" s="413"/>
      <c r="R599" s="413"/>
      <c r="S599" s="413"/>
      <c r="T599" s="413"/>
      <c r="U599" s="413"/>
      <c r="V599" s="413"/>
      <c r="W599" s="413"/>
      <c r="X599" s="413"/>
      <c r="Y599" s="413"/>
      <c r="Z599" s="413"/>
    </row>
    <row r="600">
      <c r="A600" s="452"/>
      <c r="B600" s="439"/>
      <c r="C600" s="454"/>
      <c r="D600" s="454"/>
      <c r="E600" s="439"/>
      <c r="F600" s="439"/>
      <c r="G600" s="454"/>
      <c r="H600" s="454"/>
      <c r="I600" s="456"/>
      <c r="J600" s="459"/>
      <c r="K600" s="458"/>
      <c r="L600" s="454"/>
      <c r="M600" s="453"/>
      <c r="N600" s="413"/>
      <c r="O600" s="413"/>
      <c r="P600" s="413"/>
      <c r="Q600" s="413"/>
      <c r="R600" s="413"/>
      <c r="S600" s="413"/>
      <c r="T600" s="413"/>
      <c r="U600" s="413"/>
      <c r="V600" s="413"/>
      <c r="W600" s="413"/>
      <c r="X600" s="413"/>
      <c r="Y600" s="413"/>
      <c r="Z600" s="413"/>
    </row>
    <row r="601">
      <c r="A601" s="452"/>
      <c r="B601" s="439"/>
      <c r="C601" s="454"/>
      <c r="D601" s="454"/>
      <c r="E601" s="439"/>
      <c r="F601" s="439"/>
      <c r="G601" s="454"/>
      <c r="H601" s="454"/>
      <c r="I601" s="456"/>
      <c r="J601" s="459"/>
      <c r="K601" s="458"/>
      <c r="L601" s="454"/>
      <c r="M601" s="453"/>
      <c r="N601" s="413"/>
      <c r="O601" s="413"/>
      <c r="P601" s="413"/>
      <c r="Q601" s="413"/>
      <c r="R601" s="413"/>
      <c r="S601" s="413"/>
      <c r="T601" s="413"/>
      <c r="U601" s="413"/>
      <c r="V601" s="413"/>
      <c r="W601" s="413"/>
      <c r="X601" s="413"/>
      <c r="Y601" s="413"/>
      <c r="Z601" s="413"/>
    </row>
    <row r="602">
      <c r="A602" s="452"/>
      <c r="B602" s="439"/>
      <c r="C602" s="454"/>
      <c r="D602" s="454"/>
      <c r="E602" s="439"/>
      <c r="F602" s="439"/>
      <c r="G602" s="454"/>
      <c r="H602" s="454"/>
      <c r="I602" s="456"/>
      <c r="J602" s="459"/>
      <c r="K602" s="458"/>
      <c r="L602" s="454"/>
      <c r="M602" s="453"/>
      <c r="N602" s="413"/>
      <c r="O602" s="413"/>
      <c r="P602" s="413"/>
      <c r="Q602" s="413"/>
      <c r="R602" s="413"/>
      <c r="S602" s="413"/>
      <c r="T602" s="413"/>
      <c r="U602" s="413"/>
      <c r="V602" s="413"/>
      <c r="W602" s="413"/>
      <c r="X602" s="413"/>
      <c r="Y602" s="413"/>
      <c r="Z602" s="413"/>
    </row>
    <row r="603">
      <c r="A603" s="452"/>
      <c r="B603" s="439"/>
      <c r="C603" s="454"/>
      <c r="D603" s="454"/>
      <c r="E603" s="439"/>
      <c r="F603" s="439"/>
      <c r="G603" s="454"/>
      <c r="H603" s="454"/>
      <c r="I603" s="456"/>
      <c r="J603" s="459"/>
      <c r="K603" s="458"/>
      <c r="L603" s="454"/>
      <c r="M603" s="453"/>
      <c r="N603" s="413"/>
      <c r="O603" s="413"/>
      <c r="P603" s="413"/>
      <c r="Q603" s="413"/>
      <c r="R603" s="413"/>
      <c r="S603" s="413"/>
      <c r="T603" s="413"/>
      <c r="U603" s="413"/>
      <c r="V603" s="413"/>
      <c r="W603" s="413"/>
      <c r="X603" s="413"/>
      <c r="Y603" s="413"/>
      <c r="Z603" s="413"/>
    </row>
    <row r="604">
      <c r="A604" s="452"/>
      <c r="B604" s="439"/>
      <c r="C604" s="454"/>
      <c r="D604" s="454"/>
      <c r="E604" s="439"/>
      <c r="F604" s="439"/>
      <c r="G604" s="454"/>
      <c r="H604" s="454"/>
      <c r="I604" s="456"/>
      <c r="J604" s="459"/>
      <c r="K604" s="458"/>
      <c r="L604" s="454"/>
      <c r="M604" s="453"/>
      <c r="N604" s="413"/>
      <c r="O604" s="413"/>
      <c r="P604" s="413"/>
      <c r="Q604" s="413"/>
      <c r="R604" s="413"/>
      <c r="S604" s="413"/>
      <c r="T604" s="413"/>
      <c r="U604" s="413"/>
      <c r="V604" s="413"/>
      <c r="W604" s="413"/>
      <c r="X604" s="413"/>
      <c r="Y604" s="413"/>
      <c r="Z604" s="413"/>
    </row>
    <row r="605">
      <c r="A605" s="452"/>
      <c r="B605" s="439"/>
      <c r="C605" s="454"/>
      <c r="D605" s="454"/>
      <c r="E605" s="439"/>
      <c r="F605" s="439"/>
      <c r="G605" s="454"/>
      <c r="H605" s="454"/>
      <c r="I605" s="456"/>
      <c r="J605" s="459"/>
      <c r="K605" s="458"/>
      <c r="L605" s="454"/>
      <c r="M605" s="453"/>
      <c r="N605" s="413"/>
      <c r="O605" s="413"/>
      <c r="P605" s="413"/>
      <c r="Q605" s="413"/>
      <c r="R605" s="413"/>
      <c r="S605" s="413"/>
      <c r="T605" s="413"/>
      <c r="U605" s="413"/>
      <c r="V605" s="413"/>
      <c r="W605" s="413"/>
      <c r="X605" s="413"/>
      <c r="Y605" s="413"/>
      <c r="Z605" s="413"/>
    </row>
    <row r="606">
      <c r="A606" s="452"/>
      <c r="B606" s="439"/>
      <c r="C606" s="454"/>
      <c r="D606" s="454"/>
      <c r="E606" s="439"/>
      <c r="F606" s="439"/>
      <c r="G606" s="454"/>
      <c r="H606" s="454"/>
      <c r="I606" s="456"/>
      <c r="J606" s="459"/>
      <c r="K606" s="458"/>
      <c r="L606" s="454"/>
      <c r="M606" s="453"/>
      <c r="N606" s="413"/>
      <c r="O606" s="413"/>
      <c r="P606" s="413"/>
      <c r="Q606" s="413"/>
      <c r="R606" s="413"/>
      <c r="S606" s="413"/>
      <c r="T606" s="413"/>
      <c r="U606" s="413"/>
      <c r="V606" s="413"/>
      <c r="W606" s="413"/>
      <c r="X606" s="413"/>
      <c r="Y606" s="413"/>
      <c r="Z606" s="413"/>
    </row>
    <row r="607">
      <c r="A607" s="452"/>
      <c r="B607" s="439"/>
      <c r="C607" s="454"/>
      <c r="D607" s="454"/>
      <c r="E607" s="439"/>
      <c r="F607" s="439"/>
      <c r="G607" s="454"/>
      <c r="H607" s="454"/>
      <c r="I607" s="456"/>
      <c r="J607" s="459"/>
      <c r="K607" s="458"/>
      <c r="L607" s="454"/>
      <c r="M607" s="453"/>
      <c r="N607" s="413"/>
      <c r="O607" s="413"/>
      <c r="P607" s="413"/>
      <c r="Q607" s="413"/>
      <c r="R607" s="413"/>
      <c r="S607" s="413"/>
      <c r="T607" s="413"/>
      <c r="U607" s="413"/>
      <c r="V607" s="413"/>
      <c r="W607" s="413"/>
      <c r="X607" s="413"/>
      <c r="Y607" s="413"/>
      <c r="Z607" s="413"/>
    </row>
    <row r="608">
      <c r="A608" s="452"/>
      <c r="B608" s="439"/>
      <c r="C608" s="454"/>
      <c r="D608" s="454"/>
      <c r="E608" s="439"/>
      <c r="F608" s="439"/>
      <c r="G608" s="454"/>
      <c r="H608" s="454"/>
      <c r="I608" s="456"/>
      <c r="J608" s="459"/>
      <c r="K608" s="458"/>
      <c r="L608" s="454"/>
      <c r="M608" s="453"/>
      <c r="N608" s="413"/>
      <c r="O608" s="413"/>
      <c r="P608" s="413"/>
      <c r="Q608" s="413"/>
      <c r="R608" s="413"/>
      <c r="S608" s="413"/>
      <c r="T608" s="413"/>
      <c r="U608" s="413"/>
      <c r="V608" s="413"/>
      <c r="W608" s="413"/>
      <c r="X608" s="413"/>
      <c r="Y608" s="413"/>
      <c r="Z608" s="413"/>
    </row>
    <row r="609">
      <c r="A609" s="452"/>
      <c r="B609" s="439"/>
      <c r="C609" s="454"/>
      <c r="D609" s="454"/>
      <c r="E609" s="439"/>
      <c r="F609" s="439"/>
      <c r="G609" s="454"/>
      <c r="H609" s="454"/>
      <c r="I609" s="456"/>
      <c r="J609" s="459"/>
      <c r="K609" s="458"/>
      <c r="L609" s="454"/>
      <c r="M609" s="453"/>
      <c r="N609" s="413"/>
      <c r="O609" s="413"/>
      <c r="P609" s="413"/>
      <c r="Q609" s="413"/>
      <c r="R609" s="413"/>
      <c r="S609" s="413"/>
      <c r="T609" s="413"/>
      <c r="U609" s="413"/>
      <c r="V609" s="413"/>
      <c r="W609" s="413"/>
      <c r="X609" s="413"/>
      <c r="Y609" s="413"/>
      <c r="Z609" s="413"/>
    </row>
    <row r="610">
      <c r="A610" s="452"/>
      <c r="B610" s="439"/>
      <c r="C610" s="454"/>
      <c r="D610" s="454"/>
      <c r="E610" s="439"/>
      <c r="F610" s="439"/>
      <c r="G610" s="454"/>
      <c r="H610" s="454"/>
      <c r="I610" s="456"/>
      <c r="J610" s="459"/>
      <c r="K610" s="458"/>
      <c r="L610" s="454"/>
      <c r="M610" s="453"/>
      <c r="N610" s="413"/>
      <c r="O610" s="413"/>
      <c r="P610" s="413"/>
      <c r="Q610" s="413"/>
      <c r="R610" s="413"/>
      <c r="S610" s="413"/>
      <c r="T610" s="413"/>
      <c r="U610" s="413"/>
      <c r="V610" s="413"/>
      <c r="W610" s="413"/>
      <c r="X610" s="413"/>
      <c r="Y610" s="413"/>
      <c r="Z610" s="413"/>
    </row>
    <row r="611">
      <c r="A611" s="452"/>
      <c r="B611" s="439"/>
      <c r="C611" s="454"/>
      <c r="D611" s="454"/>
      <c r="E611" s="439"/>
      <c r="F611" s="439"/>
      <c r="G611" s="454"/>
      <c r="H611" s="454"/>
      <c r="I611" s="456"/>
      <c r="J611" s="459"/>
      <c r="K611" s="458"/>
      <c r="L611" s="454"/>
      <c r="M611" s="453"/>
      <c r="N611" s="413"/>
      <c r="O611" s="413"/>
      <c r="P611" s="413"/>
      <c r="Q611" s="413"/>
      <c r="R611" s="413"/>
      <c r="S611" s="413"/>
      <c r="T611" s="413"/>
      <c r="U611" s="413"/>
      <c r="V611" s="413"/>
      <c r="W611" s="413"/>
      <c r="X611" s="413"/>
      <c r="Y611" s="413"/>
      <c r="Z611" s="413"/>
    </row>
    <row r="612">
      <c r="A612" s="452"/>
      <c r="B612" s="439"/>
      <c r="C612" s="454"/>
      <c r="D612" s="454"/>
      <c r="E612" s="439"/>
      <c r="F612" s="439"/>
      <c r="G612" s="454"/>
      <c r="H612" s="454"/>
      <c r="I612" s="456"/>
      <c r="J612" s="459"/>
      <c r="K612" s="458"/>
      <c r="L612" s="454"/>
      <c r="M612" s="453"/>
      <c r="N612" s="413"/>
      <c r="O612" s="413"/>
      <c r="P612" s="413"/>
      <c r="Q612" s="413"/>
      <c r="R612" s="413"/>
      <c r="S612" s="413"/>
      <c r="T612" s="413"/>
      <c r="U612" s="413"/>
      <c r="V612" s="413"/>
      <c r="W612" s="413"/>
      <c r="X612" s="413"/>
      <c r="Y612" s="413"/>
      <c r="Z612" s="413"/>
    </row>
    <row r="613">
      <c r="A613" s="452"/>
      <c r="B613" s="439"/>
      <c r="C613" s="454"/>
      <c r="D613" s="454"/>
      <c r="E613" s="439"/>
      <c r="F613" s="439"/>
      <c r="G613" s="454"/>
      <c r="H613" s="454"/>
      <c r="I613" s="456"/>
      <c r="J613" s="459"/>
      <c r="K613" s="458"/>
      <c r="L613" s="454"/>
      <c r="M613" s="453"/>
      <c r="N613" s="413"/>
      <c r="O613" s="413"/>
      <c r="P613" s="413"/>
      <c r="Q613" s="413"/>
      <c r="R613" s="413"/>
      <c r="S613" s="413"/>
      <c r="T613" s="413"/>
      <c r="U613" s="413"/>
      <c r="V613" s="413"/>
      <c r="W613" s="413"/>
      <c r="X613" s="413"/>
      <c r="Y613" s="413"/>
      <c r="Z613" s="413"/>
    </row>
    <row r="614">
      <c r="A614" s="452"/>
      <c r="B614" s="439"/>
      <c r="C614" s="454"/>
      <c r="D614" s="454"/>
      <c r="E614" s="439"/>
      <c r="F614" s="439"/>
      <c r="G614" s="454"/>
      <c r="H614" s="454"/>
      <c r="I614" s="456"/>
      <c r="J614" s="459"/>
      <c r="K614" s="458"/>
      <c r="L614" s="454"/>
      <c r="M614" s="453"/>
      <c r="N614" s="413"/>
      <c r="O614" s="413"/>
      <c r="P614" s="413"/>
      <c r="Q614" s="413"/>
      <c r="R614" s="413"/>
      <c r="S614" s="413"/>
      <c r="T614" s="413"/>
      <c r="U614" s="413"/>
      <c r="V614" s="413"/>
      <c r="W614" s="413"/>
      <c r="X614" s="413"/>
      <c r="Y614" s="413"/>
      <c r="Z614" s="413"/>
    </row>
    <row r="615">
      <c r="A615" s="452"/>
      <c r="B615" s="439"/>
      <c r="C615" s="454"/>
      <c r="D615" s="454"/>
      <c r="E615" s="439"/>
      <c r="F615" s="439"/>
      <c r="G615" s="454"/>
      <c r="H615" s="454"/>
      <c r="I615" s="456"/>
      <c r="J615" s="459"/>
      <c r="K615" s="458"/>
      <c r="L615" s="454"/>
      <c r="M615" s="453"/>
      <c r="N615" s="413"/>
      <c r="O615" s="413"/>
      <c r="P615" s="413"/>
      <c r="Q615" s="413"/>
      <c r="R615" s="413"/>
      <c r="S615" s="413"/>
      <c r="T615" s="413"/>
      <c r="U615" s="413"/>
      <c r="V615" s="413"/>
      <c r="W615" s="413"/>
      <c r="X615" s="413"/>
      <c r="Y615" s="413"/>
      <c r="Z615" s="413"/>
    </row>
    <row r="616">
      <c r="A616" s="452"/>
      <c r="B616" s="439"/>
      <c r="C616" s="454"/>
      <c r="D616" s="454"/>
      <c r="E616" s="439"/>
      <c r="F616" s="439"/>
      <c r="G616" s="454"/>
      <c r="H616" s="454"/>
      <c r="I616" s="456"/>
      <c r="J616" s="459"/>
      <c r="K616" s="458"/>
      <c r="L616" s="454"/>
      <c r="M616" s="453"/>
      <c r="N616" s="413"/>
      <c r="O616" s="413"/>
      <c r="P616" s="413"/>
      <c r="Q616" s="413"/>
      <c r="R616" s="413"/>
      <c r="S616" s="413"/>
      <c r="T616" s="413"/>
      <c r="U616" s="413"/>
      <c r="V616" s="413"/>
      <c r="W616" s="413"/>
      <c r="X616" s="413"/>
      <c r="Y616" s="413"/>
      <c r="Z616" s="413"/>
    </row>
    <row r="617">
      <c r="A617" s="452"/>
      <c r="B617" s="439"/>
      <c r="C617" s="454"/>
      <c r="D617" s="454"/>
      <c r="E617" s="439"/>
      <c r="F617" s="439"/>
      <c r="G617" s="454"/>
      <c r="H617" s="454"/>
      <c r="I617" s="456"/>
      <c r="J617" s="459"/>
      <c r="K617" s="458"/>
      <c r="L617" s="454"/>
      <c r="M617" s="453"/>
      <c r="N617" s="413"/>
      <c r="O617" s="413"/>
      <c r="P617" s="413"/>
      <c r="Q617" s="413"/>
      <c r="R617" s="413"/>
      <c r="S617" s="413"/>
      <c r="T617" s="413"/>
      <c r="U617" s="413"/>
      <c r="V617" s="413"/>
      <c r="W617" s="413"/>
      <c r="X617" s="413"/>
      <c r="Y617" s="413"/>
      <c r="Z617" s="413"/>
    </row>
    <row r="618">
      <c r="A618" s="452"/>
      <c r="B618" s="439"/>
      <c r="C618" s="454"/>
      <c r="D618" s="454"/>
      <c r="E618" s="439"/>
      <c r="F618" s="439"/>
      <c r="G618" s="454"/>
      <c r="H618" s="454"/>
      <c r="I618" s="456"/>
      <c r="J618" s="459"/>
      <c r="K618" s="458"/>
      <c r="L618" s="454"/>
      <c r="M618" s="453"/>
      <c r="N618" s="413"/>
      <c r="O618" s="413"/>
      <c r="P618" s="413"/>
      <c r="Q618" s="413"/>
      <c r="R618" s="413"/>
      <c r="S618" s="413"/>
      <c r="T618" s="413"/>
      <c r="U618" s="413"/>
      <c r="V618" s="413"/>
      <c r="W618" s="413"/>
      <c r="X618" s="413"/>
      <c r="Y618" s="413"/>
      <c r="Z618" s="413"/>
    </row>
    <row r="619">
      <c r="A619" s="452"/>
      <c r="B619" s="439"/>
      <c r="C619" s="454"/>
      <c r="D619" s="454"/>
      <c r="E619" s="439"/>
      <c r="F619" s="439"/>
      <c r="G619" s="454"/>
      <c r="H619" s="454"/>
      <c r="I619" s="456"/>
      <c r="J619" s="459"/>
      <c r="K619" s="458"/>
      <c r="L619" s="454"/>
      <c r="M619" s="453"/>
      <c r="N619" s="413"/>
      <c r="O619" s="413"/>
      <c r="P619" s="413"/>
      <c r="Q619" s="413"/>
      <c r="R619" s="413"/>
      <c r="S619" s="413"/>
      <c r="T619" s="413"/>
      <c r="U619" s="413"/>
      <c r="V619" s="413"/>
      <c r="W619" s="413"/>
      <c r="X619" s="413"/>
      <c r="Y619" s="413"/>
      <c r="Z619" s="413"/>
    </row>
    <row r="620">
      <c r="A620" s="452"/>
      <c r="B620" s="439"/>
      <c r="C620" s="454"/>
      <c r="D620" s="454"/>
      <c r="E620" s="439"/>
      <c r="F620" s="439"/>
      <c r="G620" s="454"/>
      <c r="H620" s="454"/>
      <c r="I620" s="456"/>
      <c r="J620" s="459"/>
      <c r="K620" s="458"/>
      <c r="L620" s="454"/>
      <c r="M620" s="453"/>
      <c r="N620" s="413"/>
      <c r="O620" s="413"/>
      <c r="P620" s="413"/>
      <c r="Q620" s="413"/>
      <c r="R620" s="413"/>
      <c r="S620" s="413"/>
      <c r="T620" s="413"/>
      <c r="U620" s="413"/>
      <c r="V620" s="413"/>
      <c r="W620" s="413"/>
      <c r="X620" s="413"/>
      <c r="Y620" s="413"/>
      <c r="Z620" s="413"/>
    </row>
    <row r="621">
      <c r="A621" s="452"/>
      <c r="B621" s="439"/>
      <c r="C621" s="454"/>
      <c r="D621" s="454"/>
      <c r="E621" s="439"/>
      <c r="F621" s="439"/>
      <c r="G621" s="454"/>
      <c r="H621" s="454"/>
      <c r="I621" s="456"/>
      <c r="J621" s="459"/>
      <c r="K621" s="458"/>
      <c r="L621" s="454"/>
      <c r="M621" s="453"/>
      <c r="N621" s="413"/>
      <c r="O621" s="413"/>
      <c r="P621" s="413"/>
      <c r="Q621" s="413"/>
      <c r="R621" s="413"/>
      <c r="S621" s="413"/>
      <c r="T621" s="413"/>
      <c r="U621" s="413"/>
      <c r="V621" s="413"/>
      <c r="W621" s="413"/>
      <c r="X621" s="413"/>
      <c r="Y621" s="413"/>
      <c r="Z621" s="413"/>
    </row>
    <row r="622">
      <c r="A622" s="452"/>
      <c r="B622" s="439"/>
      <c r="C622" s="454"/>
      <c r="D622" s="454"/>
      <c r="E622" s="439"/>
      <c r="F622" s="439"/>
      <c r="G622" s="454"/>
      <c r="H622" s="454"/>
      <c r="I622" s="456"/>
      <c r="J622" s="459"/>
      <c r="K622" s="458"/>
      <c r="L622" s="454"/>
      <c r="M622" s="453"/>
      <c r="N622" s="413"/>
      <c r="O622" s="413"/>
      <c r="P622" s="413"/>
      <c r="Q622" s="413"/>
      <c r="R622" s="413"/>
      <c r="S622" s="413"/>
      <c r="T622" s="413"/>
      <c r="U622" s="413"/>
      <c r="V622" s="413"/>
      <c r="W622" s="413"/>
      <c r="X622" s="413"/>
      <c r="Y622" s="413"/>
      <c r="Z622" s="413"/>
    </row>
    <row r="623">
      <c r="A623" s="452"/>
      <c r="B623" s="439"/>
      <c r="C623" s="454"/>
      <c r="D623" s="454"/>
      <c r="E623" s="439"/>
      <c r="F623" s="439"/>
      <c r="G623" s="454"/>
      <c r="H623" s="454"/>
      <c r="I623" s="456"/>
      <c r="J623" s="459"/>
      <c r="K623" s="458"/>
      <c r="L623" s="454"/>
      <c r="M623" s="453"/>
      <c r="N623" s="413"/>
      <c r="O623" s="413"/>
      <c r="P623" s="413"/>
      <c r="Q623" s="413"/>
      <c r="R623" s="413"/>
      <c r="S623" s="413"/>
      <c r="T623" s="413"/>
      <c r="U623" s="413"/>
      <c r="V623" s="413"/>
      <c r="W623" s="413"/>
      <c r="X623" s="413"/>
      <c r="Y623" s="413"/>
      <c r="Z623" s="413"/>
    </row>
    <row r="624">
      <c r="A624" s="452"/>
      <c r="B624" s="439"/>
      <c r="C624" s="454"/>
      <c r="D624" s="454"/>
      <c r="E624" s="439"/>
      <c r="F624" s="439"/>
      <c r="G624" s="454"/>
      <c r="H624" s="454"/>
      <c r="I624" s="456"/>
      <c r="J624" s="459"/>
      <c r="K624" s="458"/>
      <c r="L624" s="454"/>
      <c r="M624" s="453"/>
      <c r="N624" s="413"/>
      <c r="O624" s="413"/>
      <c r="P624" s="413"/>
      <c r="Q624" s="413"/>
      <c r="R624" s="413"/>
      <c r="S624" s="413"/>
      <c r="T624" s="413"/>
      <c r="U624" s="413"/>
      <c r="V624" s="413"/>
      <c r="W624" s="413"/>
      <c r="X624" s="413"/>
      <c r="Y624" s="413"/>
      <c r="Z624" s="413"/>
    </row>
    <row r="625">
      <c r="A625" s="452"/>
      <c r="B625" s="439"/>
      <c r="C625" s="454"/>
      <c r="D625" s="454"/>
      <c r="E625" s="439"/>
      <c r="F625" s="439"/>
      <c r="G625" s="454"/>
      <c r="H625" s="454"/>
      <c r="I625" s="456"/>
      <c r="J625" s="459"/>
      <c r="K625" s="458"/>
      <c r="L625" s="454"/>
      <c r="M625" s="453"/>
      <c r="N625" s="413"/>
      <c r="O625" s="413"/>
      <c r="P625" s="413"/>
      <c r="Q625" s="413"/>
      <c r="R625" s="413"/>
      <c r="S625" s="413"/>
      <c r="T625" s="413"/>
      <c r="U625" s="413"/>
      <c r="V625" s="413"/>
      <c r="W625" s="413"/>
      <c r="X625" s="413"/>
      <c r="Y625" s="413"/>
      <c r="Z625" s="413"/>
    </row>
    <row r="626">
      <c r="A626" s="452"/>
      <c r="B626" s="439"/>
      <c r="C626" s="454"/>
      <c r="D626" s="454"/>
      <c r="E626" s="439"/>
      <c r="F626" s="439"/>
      <c r="G626" s="454"/>
      <c r="H626" s="454"/>
      <c r="I626" s="456"/>
      <c r="J626" s="459"/>
      <c r="K626" s="458"/>
      <c r="L626" s="454"/>
      <c r="M626" s="453"/>
      <c r="N626" s="413"/>
      <c r="O626" s="413"/>
      <c r="P626" s="413"/>
      <c r="Q626" s="413"/>
      <c r="R626" s="413"/>
      <c r="S626" s="413"/>
      <c r="T626" s="413"/>
      <c r="U626" s="413"/>
      <c r="V626" s="413"/>
      <c r="W626" s="413"/>
      <c r="X626" s="413"/>
      <c r="Y626" s="413"/>
      <c r="Z626" s="413"/>
    </row>
    <row r="627">
      <c r="A627" s="452"/>
      <c r="B627" s="439"/>
      <c r="C627" s="454"/>
      <c r="D627" s="454"/>
      <c r="E627" s="439"/>
      <c r="F627" s="439"/>
      <c r="G627" s="454"/>
      <c r="H627" s="454"/>
      <c r="I627" s="456"/>
      <c r="J627" s="459"/>
      <c r="K627" s="458"/>
      <c r="L627" s="454"/>
      <c r="M627" s="453"/>
      <c r="N627" s="413"/>
      <c r="O627" s="413"/>
      <c r="P627" s="413"/>
      <c r="Q627" s="413"/>
      <c r="R627" s="413"/>
      <c r="S627" s="413"/>
      <c r="T627" s="413"/>
      <c r="U627" s="413"/>
      <c r="V627" s="413"/>
      <c r="W627" s="413"/>
      <c r="X627" s="413"/>
      <c r="Y627" s="413"/>
      <c r="Z627" s="413"/>
    </row>
    <row r="628">
      <c r="A628" s="452"/>
      <c r="B628" s="439"/>
      <c r="C628" s="454"/>
      <c r="D628" s="454"/>
      <c r="E628" s="439"/>
      <c r="F628" s="439"/>
      <c r="G628" s="454"/>
      <c r="H628" s="454"/>
      <c r="I628" s="456"/>
      <c r="J628" s="459"/>
      <c r="K628" s="458"/>
      <c r="L628" s="454"/>
      <c r="M628" s="453"/>
      <c r="N628" s="413"/>
      <c r="O628" s="413"/>
      <c r="P628" s="413"/>
      <c r="Q628" s="413"/>
      <c r="R628" s="413"/>
      <c r="S628" s="413"/>
      <c r="T628" s="413"/>
      <c r="U628" s="413"/>
      <c r="V628" s="413"/>
      <c r="W628" s="413"/>
      <c r="X628" s="413"/>
      <c r="Y628" s="413"/>
      <c r="Z628" s="413"/>
    </row>
    <row r="629">
      <c r="A629" s="452"/>
      <c r="B629" s="439"/>
      <c r="C629" s="454"/>
      <c r="D629" s="454"/>
      <c r="E629" s="439"/>
      <c r="F629" s="439"/>
      <c r="G629" s="454"/>
      <c r="H629" s="454"/>
      <c r="I629" s="456"/>
      <c r="J629" s="459"/>
      <c r="K629" s="458"/>
      <c r="L629" s="454"/>
      <c r="M629" s="453"/>
      <c r="N629" s="413"/>
      <c r="O629" s="413"/>
      <c r="P629" s="413"/>
      <c r="Q629" s="413"/>
      <c r="R629" s="413"/>
      <c r="S629" s="413"/>
      <c r="T629" s="413"/>
      <c r="U629" s="413"/>
      <c r="V629" s="413"/>
      <c r="W629" s="413"/>
      <c r="X629" s="413"/>
      <c r="Y629" s="413"/>
      <c r="Z629" s="413"/>
    </row>
    <row r="630">
      <c r="A630" s="452"/>
      <c r="B630" s="439"/>
      <c r="C630" s="454"/>
      <c r="D630" s="454"/>
      <c r="E630" s="439"/>
      <c r="F630" s="439"/>
      <c r="G630" s="454"/>
      <c r="H630" s="454"/>
      <c r="I630" s="456"/>
      <c r="J630" s="459"/>
      <c r="K630" s="458"/>
      <c r="L630" s="454"/>
      <c r="M630" s="453"/>
      <c r="N630" s="413"/>
      <c r="O630" s="413"/>
      <c r="P630" s="413"/>
      <c r="Q630" s="413"/>
      <c r="R630" s="413"/>
      <c r="S630" s="413"/>
      <c r="T630" s="413"/>
      <c r="U630" s="413"/>
      <c r="V630" s="413"/>
      <c r="W630" s="413"/>
      <c r="X630" s="413"/>
      <c r="Y630" s="413"/>
      <c r="Z630" s="413"/>
    </row>
    <row r="631">
      <c r="A631" s="452"/>
      <c r="B631" s="439"/>
      <c r="C631" s="454"/>
      <c r="D631" s="454"/>
      <c r="E631" s="439"/>
      <c r="F631" s="439"/>
      <c r="G631" s="454"/>
      <c r="H631" s="454"/>
      <c r="I631" s="456"/>
      <c r="J631" s="459"/>
      <c r="K631" s="458"/>
      <c r="L631" s="454"/>
      <c r="M631" s="453"/>
      <c r="N631" s="413"/>
      <c r="O631" s="413"/>
      <c r="P631" s="413"/>
      <c r="Q631" s="413"/>
      <c r="R631" s="413"/>
      <c r="S631" s="413"/>
      <c r="T631" s="413"/>
      <c r="U631" s="413"/>
      <c r="V631" s="413"/>
      <c r="W631" s="413"/>
      <c r="X631" s="413"/>
      <c r="Y631" s="413"/>
      <c r="Z631" s="413"/>
    </row>
    <row r="632">
      <c r="A632" s="452"/>
      <c r="B632" s="439"/>
      <c r="C632" s="454"/>
      <c r="D632" s="454"/>
      <c r="E632" s="439"/>
      <c r="F632" s="439"/>
      <c r="G632" s="454"/>
      <c r="H632" s="454"/>
      <c r="I632" s="456"/>
      <c r="J632" s="459"/>
      <c r="K632" s="458"/>
      <c r="L632" s="454"/>
      <c r="M632" s="453"/>
      <c r="N632" s="413"/>
      <c r="O632" s="413"/>
      <c r="P632" s="413"/>
      <c r="Q632" s="413"/>
      <c r="R632" s="413"/>
      <c r="S632" s="413"/>
      <c r="T632" s="413"/>
      <c r="U632" s="413"/>
      <c r="V632" s="413"/>
      <c r="W632" s="413"/>
      <c r="X632" s="413"/>
      <c r="Y632" s="413"/>
      <c r="Z632" s="413"/>
    </row>
    <row r="633">
      <c r="A633" s="452"/>
      <c r="B633" s="439"/>
      <c r="C633" s="454"/>
      <c r="D633" s="454"/>
      <c r="E633" s="439"/>
      <c r="F633" s="439"/>
      <c r="G633" s="454"/>
      <c r="H633" s="454"/>
      <c r="I633" s="456"/>
      <c r="J633" s="459"/>
      <c r="K633" s="458"/>
      <c r="L633" s="454"/>
      <c r="M633" s="453"/>
      <c r="N633" s="413"/>
      <c r="O633" s="413"/>
      <c r="P633" s="413"/>
      <c r="Q633" s="413"/>
      <c r="R633" s="413"/>
      <c r="S633" s="413"/>
      <c r="T633" s="413"/>
      <c r="U633" s="413"/>
      <c r="V633" s="413"/>
      <c r="W633" s="413"/>
      <c r="X633" s="413"/>
      <c r="Y633" s="413"/>
      <c r="Z633" s="413"/>
    </row>
    <row r="634">
      <c r="A634" s="452"/>
      <c r="B634" s="439"/>
      <c r="C634" s="454"/>
      <c r="D634" s="454"/>
      <c r="E634" s="439"/>
      <c r="F634" s="439"/>
      <c r="G634" s="454"/>
      <c r="H634" s="454"/>
      <c r="I634" s="456"/>
      <c r="J634" s="459"/>
      <c r="K634" s="458"/>
      <c r="L634" s="454"/>
      <c r="M634" s="453"/>
      <c r="N634" s="413"/>
      <c r="O634" s="413"/>
      <c r="P634" s="413"/>
      <c r="Q634" s="413"/>
      <c r="R634" s="413"/>
      <c r="S634" s="413"/>
      <c r="T634" s="413"/>
      <c r="U634" s="413"/>
      <c r="V634" s="413"/>
      <c r="W634" s="413"/>
      <c r="X634" s="413"/>
      <c r="Y634" s="413"/>
      <c r="Z634" s="413"/>
    </row>
    <row r="635">
      <c r="A635" s="452"/>
      <c r="B635" s="439"/>
      <c r="C635" s="454"/>
      <c r="D635" s="454"/>
      <c r="E635" s="439"/>
      <c r="F635" s="439"/>
      <c r="G635" s="454"/>
      <c r="H635" s="454"/>
      <c r="I635" s="456"/>
      <c r="J635" s="459"/>
      <c r="K635" s="458"/>
      <c r="L635" s="454"/>
      <c r="M635" s="453"/>
      <c r="N635" s="413"/>
      <c r="O635" s="413"/>
      <c r="P635" s="413"/>
      <c r="Q635" s="413"/>
      <c r="R635" s="413"/>
      <c r="S635" s="413"/>
      <c r="T635" s="413"/>
      <c r="U635" s="413"/>
      <c r="V635" s="413"/>
      <c r="W635" s="413"/>
      <c r="X635" s="413"/>
      <c r="Y635" s="413"/>
      <c r="Z635" s="413"/>
    </row>
    <row r="636">
      <c r="A636" s="452"/>
      <c r="B636" s="439"/>
      <c r="C636" s="454"/>
      <c r="D636" s="454"/>
      <c r="E636" s="439"/>
      <c r="F636" s="439"/>
      <c r="G636" s="454"/>
      <c r="H636" s="454"/>
      <c r="I636" s="456"/>
      <c r="J636" s="459"/>
      <c r="K636" s="458"/>
      <c r="L636" s="454"/>
      <c r="M636" s="453"/>
      <c r="N636" s="413"/>
      <c r="O636" s="413"/>
      <c r="P636" s="413"/>
      <c r="Q636" s="413"/>
      <c r="R636" s="413"/>
      <c r="S636" s="413"/>
      <c r="T636" s="413"/>
      <c r="U636" s="413"/>
      <c r="V636" s="413"/>
      <c r="W636" s="413"/>
      <c r="X636" s="413"/>
      <c r="Y636" s="413"/>
      <c r="Z636" s="413"/>
    </row>
    <row r="637">
      <c r="A637" s="452"/>
      <c r="B637" s="439"/>
      <c r="C637" s="454"/>
      <c r="D637" s="454"/>
      <c r="E637" s="439"/>
      <c r="F637" s="439"/>
      <c r="G637" s="454"/>
      <c r="H637" s="454"/>
      <c r="I637" s="456"/>
      <c r="J637" s="459"/>
      <c r="K637" s="458"/>
      <c r="L637" s="454"/>
      <c r="M637" s="453"/>
      <c r="N637" s="413"/>
      <c r="O637" s="413"/>
      <c r="P637" s="413"/>
      <c r="Q637" s="413"/>
      <c r="R637" s="413"/>
      <c r="S637" s="413"/>
      <c r="T637" s="413"/>
      <c r="U637" s="413"/>
      <c r="V637" s="413"/>
      <c r="W637" s="413"/>
      <c r="X637" s="413"/>
      <c r="Y637" s="413"/>
      <c r="Z637" s="413"/>
    </row>
    <row r="638">
      <c r="A638" s="452"/>
      <c r="B638" s="439"/>
      <c r="C638" s="454"/>
      <c r="D638" s="454"/>
      <c r="E638" s="439"/>
      <c r="F638" s="439"/>
      <c r="G638" s="454"/>
      <c r="H638" s="454"/>
      <c r="I638" s="456"/>
      <c r="J638" s="459"/>
      <c r="K638" s="458"/>
      <c r="L638" s="454"/>
      <c r="M638" s="453"/>
      <c r="N638" s="413"/>
      <c r="O638" s="413"/>
      <c r="P638" s="413"/>
      <c r="Q638" s="413"/>
      <c r="R638" s="413"/>
      <c r="S638" s="413"/>
      <c r="T638" s="413"/>
      <c r="U638" s="413"/>
      <c r="V638" s="413"/>
      <c r="W638" s="413"/>
      <c r="X638" s="413"/>
      <c r="Y638" s="413"/>
      <c r="Z638" s="413"/>
    </row>
    <row r="639">
      <c r="A639" s="452"/>
      <c r="B639" s="439"/>
      <c r="C639" s="454"/>
      <c r="D639" s="454"/>
      <c r="E639" s="439"/>
      <c r="F639" s="439"/>
      <c r="G639" s="454"/>
      <c r="H639" s="454"/>
      <c r="I639" s="456"/>
      <c r="J639" s="459"/>
      <c r="K639" s="458"/>
      <c r="L639" s="454"/>
      <c r="M639" s="453"/>
      <c r="N639" s="413"/>
      <c r="O639" s="413"/>
      <c r="P639" s="413"/>
      <c r="Q639" s="413"/>
      <c r="R639" s="413"/>
      <c r="S639" s="413"/>
      <c r="T639" s="413"/>
      <c r="U639" s="413"/>
      <c r="V639" s="413"/>
      <c r="W639" s="413"/>
      <c r="X639" s="413"/>
      <c r="Y639" s="413"/>
      <c r="Z639" s="413"/>
    </row>
    <row r="640">
      <c r="A640" s="452"/>
      <c r="B640" s="439"/>
      <c r="C640" s="454"/>
      <c r="D640" s="454"/>
      <c r="E640" s="439"/>
      <c r="F640" s="439"/>
      <c r="G640" s="454"/>
      <c r="H640" s="454"/>
      <c r="I640" s="456"/>
      <c r="J640" s="459"/>
      <c r="K640" s="458"/>
      <c r="L640" s="454"/>
      <c r="M640" s="453"/>
      <c r="N640" s="413"/>
      <c r="O640" s="413"/>
      <c r="P640" s="413"/>
      <c r="Q640" s="413"/>
      <c r="R640" s="413"/>
      <c r="S640" s="413"/>
      <c r="T640" s="413"/>
      <c r="U640" s="413"/>
      <c r="V640" s="413"/>
      <c r="W640" s="413"/>
      <c r="X640" s="413"/>
      <c r="Y640" s="413"/>
      <c r="Z640" s="413"/>
    </row>
    <row r="641">
      <c r="A641" s="452"/>
      <c r="B641" s="439"/>
      <c r="C641" s="454"/>
      <c r="D641" s="454"/>
      <c r="E641" s="439"/>
      <c r="F641" s="439"/>
      <c r="G641" s="454"/>
      <c r="H641" s="454"/>
      <c r="I641" s="456"/>
      <c r="J641" s="459"/>
      <c r="K641" s="458"/>
      <c r="L641" s="454"/>
      <c r="M641" s="453"/>
      <c r="N641" s="413"/>
      <c r="O641" s="413"/>
      <c r="P641" s="413"/>
      <c r="Q641" s="413"/>
      <c r="R641" s="413"/>
      <c r="S641" s="413"/>
      <c r="T641" s="413"/>
      <c r="U641" s="413"/>
      <c r="V641" s="413"/>
      <c r="W641" s="413"/>
      <c r="X641" s="413"/>
      <c r="Y641" s="413"/>
      <c r="Z641" s="413"/>
    </row>
    <row r="642">
      <c r="A642" s="452"/>
      <c r="B642" s="439"/>
      <c r="C642" s="454"/>
      <c r="D642" s="454"/>
      <c r="E642" s="439"/>
      <c r="F642" s="439"/>
      <c r="G642" s="454"/>
      <c r="H642" s="454"/>
      <c r="I642" s="456"/>
      <c r="J642" s="459"/>
      <c r="K642" s="458"/>
      <c r="L642" s="454"/>
      <c r="M642" s="453"/>
      <c r="N642" s="413"/>
      <c r="O642" s="413"/>
      <c r="P642" s="413"/>
      <c r="Q642" s="413"/>
      <c r="R642" s="413"/>
      <c r="S642" s="413"/>
      <c r="T642" s="413"/>
      <c r="U642" s="413"/>
      <c r="V642" s="413"/>
      <c r="W642" s="413"/>
      <c r="X642" s="413"/>
      <c r="Y642" s="413"/>
      <c r="Z642" s="413"/>
    </row>
    <row r="643">
      <c r="A643" s="452"/>
      <c r="B643" s="439"/>
      <c r="C643" s="454"/>
      <c r="D643" s="454"/>
      <c r="E643" s="439"/>
      <c r="F643" s="439"/>
      <c r="G643" s="454"/>
      <c r="H643" s="454"/>
      <c r="I643" s="456"/>
      <c r="J643" s="459"/>
      <c r="K643" s="458"/>
      <c r="L643" s="454"/>
      <c r="M643" s="453"/>
      <c r="N643" s="413"/>
      <c r="O643" s="413"/>
      <c r="P643" s="413"/>
      <c r="Q643" s="413"/>
      <c r="R643" s="413"/>
      <c r="S643" s="413"/>
      <c r="T643" s="413"/>
      <c r="U643" s="413"/>
      <c r="V643" s="413"/>
      <c r="W643" s="413"/>
      <c r="X643" s="413"/>
      <c r="Y643" s="413"/>
      <c r="Z643" s="413"/>
    </row>
    <row r="644">
      <c r="A644" s="452"/>
      <c r="B644" s="439"/>
      <c r="C644" s="454"/>
      <c r="D644" s="454"/>
      <c r="E644" s="439"/>
      <c r="F644" s="439"/>
      <c r="G644" s="454"/>
      <c r="H644" s="454"/>
      <c r="I644" s="456"/>
      <c r="J644" s="459"/>
      <c r="K644" s="458"/>
      <c r="L644" s="454"/>
      <c r="M644" s="453"/>
      <c r="N644" s="413"/>
      <c r="O644" s="413"/>
      <c r="P644" s="413"/>
      <c r="Q644" s="413"/>
      <c r="R644" s="413"/>
      <c r="S644" s="413"/>
      <c r="T644" s="413"/>
      <c r="U644" s="413"/>
      <c r="V644" s="413"/>
      <c r="W644" s="413"/>
      <c r="X644" s="413"/>
      <c r="Y644" s="413"/>
      <c r="Z644" s="413"/>
    </row>
    <row r="645">
      <c r="A645" s="452"/>
      <c r="B645" s="439"/>
      <c r="C645" s="454"/>
      <c r="D645" s="454"/>
      <c r="E645" s="439"/>
      <c r="F645" s="439"/>
      <c r="G645" s="454"/>
      <c r="H645" s="454"/>
      <c r="I645" s="456"/>
      <c r="J645" s="459"/>
      <c r="K645" s="458"/>
      <c r="L645" s="454"/>
      <c r="M645" s="453"/>
      <c r="N645" s="413"/>
      <c r="O645" s="413"/>
      <c r="P645" s="413"/>
      <c r="Q645" s="413"/>
      <c r="R645" s="413"/>
      <c r="S645" s="413"/>
      <c r="T645" s="413"/>
      <c r="U645" s="413"/>
      <c r="V645" s="413"/>
      <c r="W645" s="413"/>
      <c r="X645" s="413"/>
      <c r="Y645" s="413"/>
      <c r="Z645" s="413"/>
    </row>
    <row r="646">
      <c r="A646" s="452"/>
      <c r="B646" s="439"/>
      <c r="C646" s="454"/>
      <c r="D646" s="454"/>
      <c r="E646" s="439"/>
      <c r="F646" s="439"/>
      <c r="G646" s="454"/>
      <c r="H646" s="454"/>
      <c r="I646" s="456"/>
      <c r="J646" s="459"/>
      <c r="K646" s="458"/>
      <c r="L646" s="454"/>
      <c r="M646" s="453"/>
      <c r="N646" s="413"/>
      <c r="O646" s="413"/>
      <c r="P646" s="413"/>
      <c r="Q646" s="413"/>
      <c r="R646" s="413"/>
      <c r="S646" s="413"/>
      <c r="T646" s="413"/>
      <c r="U646" s="413"/>
      <c r="V646" s="413"/>
      <c r="W646" s="413"/>
      <c r="X646" s="413"/>
      <c r="Y646" s="413"/>
      <c r="Z646" s="413"/>
    </row>
    <row r="647">
      <c r="A647" s="452"/>
      <c r="B647" s="439"/>
      <c r="C647" s="454"/>
      <c r="D647" s="454"/>
      <c r="E647" s="439"/>
      <c r="F647" s="439"/>
      <c r="G647" s="454"/>
      <c r="H647" s="454"/>
      <c r="I647" s="456"/>
      <c r="J647" s="459"/>
      <c r="K647" s="458"/>
      <c r="L647" s="454"/>
      <c r="M647" s="453"/>
      <c r="N647" s="413"/>
      <c r="O647" s="413"/>
      <c r="P647" s="413"/>
      <c r="Q647" s="413"/>
      <c r="R647" s="413"/>
      <c r="S647" s="413"/>
      <c r="T647" s="413"/>
      <c r="U647" s="413"/>
      <c r="V647" s="413"/>
      <c r="W647" s="413"/>
      <c r="X647" s="413"/>
      <c r="Y647" s="413"/>
      <c r="Z647" s="413"/>
    </row>
    <row r="648">
      <c r="A648" s="452"/>
      <c r="B648" s="439"/>
      <c r="C648" s="454"/>
      <c r="D648" s="454"/>
      <c r="E648" s="439"/>
      <c r="F648" s="439"/>
      <c r="G648" s="454"/>
      <c r="H648" s="454"/>
      <c r="I648" s="456"/>
      <c r="J648" s="459"/>
      <c r="K648" s="458"/>
      <c r="L648" s="454"/>
      <c r="M648" s="453"/>
      <c r="N648" s="413"/>
      <c r="O648" s="413"/>
      <c r="P648" s="413"/>
      <c r="Q648" s="413"/>
      <c r="R648" s="413"/>
      <c r="S648" s="413"/>
      <c r="T648" s="413"/>
      <c r="U648" s="413"/>
      <c r="V648" s="413"/>
      <c r="W648" s="413"/>
      <c r="X648" s="413"/>
      <c r="Y648" s="413"/>
      <c r="Z648" s="413"/>
    </row>
    <row r="649">
      <c r="A649" s="452"/>
      <c r="B649" s="439"/>
      <c r="C649" s="454"/>
      <c r="D649" s="454"/>
      <c r="E649" s="439"/>
      <c r="F649" s="439"/>
      <c r="G649" s="454"/>
      <c r="H649" s="454"/>
      <c r="I649" s="456"/>
      <c r="J649" s="459"/>
      <c r="K649" s="458"/>
      <c r="L649" s="454"/>
      <c r="M649" s="453"/>
      <c r="N649" s="413"/>
      <c r="O649" s="413"/>
      <c r="P649" s="413"/>
      <c r="Q649" s="413"/>
      <c r="R649" s="413"/>
      <c r="S649" s="413"/>
      <c r="T649" s="413"/>
      <c r="U649" s="413"/>
      <c r="V649" s="413"/>
      <c r="W649" s="413"/>
      <c r="X649" s="413"/>
      <c r="Y649" s="413"/>
      <c r="Z649" s="413"/>
    </row>
    <row r="650">
      <c r="A650" s="452"/>
      <c r="B650" s="439"/>
      <c r="C650" s="454"/>
      <c r="D650" s="454"/>
      <c r="E650" s="439"/>
      <c r="F650" s="439"/>
      <c r="G650" s="454"/>
      <c r="H650" s="454"/>
      <c r="I650" s="456"/>
      <c r="J650" s="459"/>
      <c r="K650" s="458"/>
      <c r="L650" s="454"/>
      <c r="M650" s="453"/>
      <c r="N650" s="413"/>
      <c r="O650" s="413"/>
      <c r="P650" s="413"/>
      <c r="Q650" s="413"/>
      <c r="R650" s="413"/>
      <c r="S650" s="413"/>
      <c r="T650" s="413"/>
      <c r="U650" s="413"/>
      <c r="V650" s="413"/>
      <c r="W650" s="413"/>
      <c r="X650" s="413"/>
      <c r="Y650" s="413"/>
      <c r="Z650" s="413"/>
    </row>
    <row r="651">
      <c r="A651" s="452"/>
      <c r="B651" s="439"/>
      <c r="C651" s="454"/>
      <c r="D651" s="454"/>
      <c r="E651" s="439"/>
      <c r="F651" s="439"/>
      <c r="G651" s="454"/>
      <c r="H651" s="454"/>
      <c r="I651" s="456"/>
      <c r="J651" s="459"/>
      <c r="K651" s="458"/>
      <c r="L651" s="454"/>
      <c r="M651" s="453"/>
      <c r="N651" s="413"/>
      <c r="O651" s="413"/>
      <c r="P651" s="413"/>
      <c r="Q651" s="413"/>
      <c r="R651" s="413"/>
      <c r="S651" s="413"/>
      <c r="T651" s="413"/>
      <c r="U651" s="413"/>
      <c r="V651" s="413"/>
      <c r="W651" s="413"/>
      <c r="X651" s="413"/>
      <c r="Y651" s="413"/>
      <c r="Z651" s="413"/>
    </row>
    <row r="652">
      <c r="A652" s="452"/>
      <c r="B652" s="439"/>
      <c r="C652" s="454"/>
      <c r="D652" s="454"/>
      <c r="E652" s="439"/>
      <c r="F652" s="439"/>
      <c r="G652" s="454"/>
      <c r="H652" s="454"/>
      <c r="I652" s="456"/>
      <c r="J652" s="459"/>
      <c r="K652" s="458"/>
      <c r="L652" s="454"/>
      <c r="M652" s="453"/>
      <c r="N652" s="413"/>
      <c r="O652" s="413"/>
      <c r="P652" s="413"/>
      <c r="Q652" s="413"/>
      <c r="R652" s="413"/>
      <c r="S652" s="413"/>
      <c r="T652" s="413"/>
      <c r="U652" s="413"/>
      <c r="V652" s="413"/>
      <c r="W652" s="413"/>
      <c r="X652" s="413"/>
      <c r="Y652" s="413"/>
      <c r="Z652" s="413"/>
    </row>
    <row r="653">
      <c r="A653" s="452"/>
      <c r="B653" s="439"/>
      <c r="C653" s="454"/>
      <c r="D653" s="454"/>
      <c r="E653" s="439"/>
      <c r="F653" s="439"/>
      <c r="G653" s="454"/>
      <c r="H653" s="454"/>
      <c r="I653" s="456"/>
      <c r="J653" s="459"/>
      <c r="K653" s="458"/>
      <c r="L653" s="454"/>
      <c r="M653" s="453"/>
      <c r="N653" s="413"/>
      <c r="O653" s="413"/>
      <c r="P653" s="413"/>
      <c r="Q653" s="413"/>
      <c r="R653" s="413"/>
      <c r="S653" s="413"/>
      <c r="T653" s="413"/>
      <c r="U653" s="413"/>
      <c r="V653" s="413"/>
      <c r="W653" s="413"/>
      <c r="X653" s="413"/>
      <c r="Y653" s="413"/>
      <c r="Z653" s="413"/>
    </row>
    <row r="654">
      <c r="A654" s="452"/>
      <c r="B654" s="439"/>
      <c r="C654" s="454"/>
      <c r="D654" s="454"/>
      <c r="E654" s="439"/>
      <c r="F654" s="439"/>
      <c r="G654" s="454"/>
      <c r="H654" s="454"/>
      <c r="I654" s="456"/>
      <c r="J654" s="459"/>
      <c r="K654" s="458"/>
      <c r="L654" s="454"/>
      <c r="M654" s="453"/>
      <c r="N654" s="413"/>
      <c r="O654" s="413"/>
      <c r="P654" s="413"/>
      <c r="Q654" s="413"/>
      <c r="R654" s="413"/>
      <c r="S654" s="413"/>
      <c r="T654" s="413"/>
      <c r="U654" s="413"/>
      <c r="V654" s="413"/>
      <c r="W654" s="413"/>
      <c r="X654" s="413"/>
      <c r="Y654" s="413"/>
      <c r="Z654" s="413"/>
    </row>
    <row r="655">
      <c r="A655" s="452"/>
      <c r="B655" s="439"/>
      <c r="C655" s="454"/>
      <c r="D655" s="454"/>
      <c r="E655" s="439"/>
      <c r="F655" s="439"/>
      <c r="G655" s="454"/>
      <c r="H655" s="454"/>
      <c r="I655" s="456"/>
      <c r="J655" s="459"/>
      <c r="K655" s="458"/>
      <c r="L655" s="454"/>
      <c r="M655" s="453"/>
      <c r="N655" s="413"/>
      <c r="O655" s="413"/>
      <c r="P655" s="413"/>
      <c r="Q655" s="413"/>
      <c r="R655" s="413"/>
      <c r="S655" s="413"/>
      <c r="T655" s="413"/>
      <c r="U655" s="413"/>
      <c r="V655" s="413"/>
      <c r="W655" s="413"/>
      <c r="X655" s="413"/>
      <c r="Y655" s="413"/>
      <c r="Z655" s="413"/>
    </row>
    <row r="656">
      <c r="A656" s="452"/>
      <c r="B656" s="439"/>
      <c r="C656" s="454"/>
      <c r="D656" s="454"/>
      <c r="E656" s="439"/>
      <c r="F656" s="439"/>
      <c r="G656" s="454"/>
      <c r="H656" s="454"/>
      <c r="I656" s="456"/>
      <c r="J656" s="459"/>
      <c r="K656" s="458"/>
      <c r="L656" s="454"/>
      <c r="M656" s="453"/>
      <c r="N656" s="413"/>
      <c r="O656" s="413"/>
      <c r="P656" s="413"/>
      <c r="Q656" s="413"/>
      <c r="R656" s="413"/>
      <c r="S656" s="413"/>
      <c r="T656" s="413"/>
      <c r="U656" s="413"/>
      <c r="V656" s="413"/>
      <c r="W656" s="413"/>
      <c r="X656" s="413"/>
      <c r="Y656" s="413"/>
      <c r="Z656" s="413"/>
    </row>
    <row r="657">
      <c r="A657" s="452"/>
      <c r="B657" s="439"/>
      <c r="C657" s="454"/>
      <c r="D657" s="454"/>
      <c r="E657" s="439"/>
      <c r="F657" s="439"/>
      <c r="G657" s="454"/>
      <c r="H657" s="454"/>
      <c r="I657" s="456"/>
      <c r="J657" s="459"/>
      <c r="K657" s="458"/>
      <c r="L657" s="454"/>
      <c r="M657" s="453"/>
      <c r="N657" s="413"/>
      <c r="O657" s="413"/>
      <c r="P657" s="413"/>
      <c r="Q657" s="413"/>
      <c r="R657" s="413"/>
      <c r="S657" s="413"/>
      <c r="T657" s="413"/>
      <c r="U657" s="413"/>
      <c r="V657" s="413"/>
      <c r="W657" s="413"/>
      <c r="X657" s="413"/>
      <c r="Y657" s="413"/>
      <c r="Z657" s="413"/>
    </row>
    <row r="658">
      <c r="A658" s="452"/>
      <c r="B658" s="439"/>
      <c r="C658" s="454"/>
      <c r="D658" s="454"/>
      <c r="E658" s="439"/>
      <c r="F658" s="439"/>
      <c r="G658" s="454"/>
      <c r="H658" s="454"/>
      <c r="I658" s="456"/>
      <c r="J658" s="459"/>
      <c r="K658" s="458"/>
      <c r="L658" s="454"/>
      <c r="M658" s="453"/>
      <c r="N658" s="413"/>
      <c r="O658" s="413"/>
      <c r="P658" s="413"/>
      <c r="Q658" s="413"/>
      <c r="R658" s="413"/>
      <c r="S658" s="413"/>
      <c r="T658" s="413"/>
      <c r="U658" s="413"/>
      <c r="V658" s="413"/>
      <c r="W658" s="413"/>
      <c r="X658" s="413"/>
      <c r="Y658" s="413"/>
      <c r="Z658" s="413"/>
    </row>
    <row r="659">
      <c r="A659" s="452"/>
      <c r="B659" s="439"/>
      <c r="C659" s="454"/>
      <c r="D659" s="454"/>
      <c r="E659" s="439"/>
      <c r="F659" s="439"/>
      <c r="G659" s="454"/>
      <c r="H659" s="454"/>
      <c r="I659" s="456"/>
      <c r="J659" s="459"/>
      <c r="K659" s="458"/>
      <c r="L659" s="454"/>
      <c r="M659" s="453"/>
      <c r="N659" s="413"/>
      <c r="O659" s="413"/>
      <c r="P659" s="413"/>
      <c r="Q659" s="413"/>
      <c r="R659" s="413"/>
      <c r="S659" s="413"/>
      <c r="T659" s="413"/>
      <c r="U659" s="413"/>
      <c r="V659" s="413"/>
      <c r="W659" s="413"/>
      <c r="X659" s="413"/>
      <c r="Y659" s="413"/>
      <c r="Z659" s="413"/>
    </row>
    <row r="660">
      <c r="A660" s="452"/>
      <c r="B660" s="439"/>
      <c r="C660" s="454"/>
      <c r="D660" s="454"/>
      <c r="E660" s="439"/>
      <c r="F660" s="439"/>
      <c r="G660" s="454"/>
      <c r="H660" s="454"/>
      <c r="I660" s="456"/>
      <c r="J660" s="459"/>
      <c r="K660" s="458"/>
      <c r="L660" s="454"/>
      <c r="M660" s="453"/>
      <c r="N660" s="413"/>
      <c r="O660" s="413"/>
      <c r="P660" s="413"/>
      <c r="Q660" s="413"/>
      <c r="R660" s="413"/>
      <c r="S660" s="413"/>
      <c r="T660" s="413"/>
      <c r="U660" s="413"/>
      <c r="V660" s="413"/>
      <c r="W660" s="413"/>
      <c r="X660" s="413"/>
      <c r="Y660" s="413"/>
      <c r="Z660" s="413"/>
    </row>
    <row r="661">
      <c r="A661" s="452"/>
      <c r="B661" s="439"/>
      <c r="C661" s="454"/>
      <c r="D661" s="454"/>
      <c r="E661" s="439"/>
      <c r="F661" s="439"/>
      <c r="G661" s="454"/>
      <c r="H661" s="454"/>
      <c r="I661" s="456"/>
      <c r="J661" s="459"/>
      <c r="K661" s="458"/>
      <c r="L661" s="454"/>
      <c r="M661" s="453"/>
      <c r="N661" s="413"/>
      <c r="O661" s="413"/>
      <c r="P661" s="413"/>
      <c r="Q661" s="413"/>
      <c r="R661" s="413"/>
      <c r="S661" s="413"/>
      <c r="T661" s="413"/>
      <c r="U661" s="413"/>
      <c r="V661" s="413"/>
      <c r="W661" s="413"/>
      <c r="X661" s="413"/>
      <c r="Y661" s="413"/>
      <c r="Z661" s="413"/>
    </row>
    <row r="662">
      <c r="A662" s="452"/>
      <c r="B662" s="439"/>
      <c r="C662" s="454"/>
      <c r="D662" s="454"/>
      <c r="E662" s="439"/>
      <c r="F662" s="439"/>
      <c r="G662" s="454"/>
      <c r="H662" s="454"/>
      <c r="I662" s="456"/>
      <c r="J662" s="459"/>
      <c r="K662" s="458"/>
      <c r="L662" s="454"/>
      <c r="M662" s="453"/>
      <c r="N662" s="413"/>
      <c r="O662" s="413"/>
      <c r="P662" s="413"/>
      <c r="Q662" s="413"/>
      <c r="R662" s="413"/>
      <c r="S662" s="413"/>
      <c r="T662" s="413"/>
      <c r="U662" s="413"/>
      <c r="V662" s="413"/>
      <c r="W662" s="413"/>
      <c r="X662" s="413"/>
      <c r="Y662" s="413"/>
      <c r="Z662" s="413"/>
    </row>
    <row r="663">
      <c r="A663" s="452"/>
      <c r="B663" s="439"/>
      <c r="C663" s="454"/>
      <c r="D663" s="454"/>
      <c r="E663" s="439"/>
      <c r="F663" s="439"/>
      <c r="G663" s="454"/>
      <c r="H663" s="454"/>
      <c r="I663" s="456"/>
      <c r="J663" s="459"/>
      <c r="K663" s="458"/>
      <c r="L663" s="454"/>
      <c r="M663" s="453"/>
      <c r="N663" s="413"/>
      <c r="O663" s="413"/>
      <c r="P663" s="413"/>
      <c r="Q663" s="413"/>
      <c r="R663" s="413"/>
      <c r="S663" s="413"/>
      <c r="T663" s="413"/>
      <c r="U663" s="413"/>
      <c r="V663" s="413"/>
      <c r="W663" s="413"/>
      <c r="X663" s="413"/>
      <c r="Y663" s="413"/>
      <c r="Z663" s="413"/>
    </row>
    <row r="664">
      <c r="A664" s="452"/>
      <c r="B664" s="439"/>
      <c r="C664" s="454"/>
      <c r="D664" s="454"/>
      <c r="E664" s="439"/>
      <c r="F664" s="439"/>
      <c r="G664" s="454"/>
      <c r="H664" s="454"/>
      <c r="I664" s="456"/>
      <c r="J664" s="459"/>
      <c r="K664" s="458"/>
      <c r="L664" s="454"/>
      <c r="M664" s="453"/>
      <c r="N664" s="413"/>
      <c r="O664" s="413"/>
      <c r="P664" s="413"/>
      <c r="Q664" s="413"/>
      <c r="R664" s="413"/>
      <c r="S664" s="413"/>
      <c r="T664" s="413"/>
      <c r="U664" s="413"/>
      <c r="V664" s="413"/>
      <c r="W664" s="413"/>
      <c r="X664" s="413"/>
      <c r="Y664" s="413"/>
      <c r="Z664" s="413"/>
    </row>
    <row r="665">
      <c r="A665" s="452"/>
      <c r="B665" s="439"/>
      <c r="C665" s="454"/>
      <c r="D665" s="454"/>
      <c r="E665" s="439"/>
      <c r="F665" s="439"/>
      <c r="G665" s="454"/>
      <c r="H665" s="454"/>
      <c r="I665" s="456"/>
      <c r="J665" s="459"/>
      <c r="K665" s="458"/>
      <c r="L665" s="454"/>
      <c r="M665" s="453"/>
      <c r="N665" s="413"/>
      <c r="O665" s="413"/>
      <c r="P665" s="413"/>
      <c r="Q665" s="413"/>
      <c r="R665" s="413"/>
      <c r="S665" s="413"/>
      <c r="T665" s="413"/>
      <c r="U665" s="413"/>
      <c r="V665" s="413"/>
      <c r="W665" s="413"/>
      <c r="X665" s="413"/>
      <c r="Y665" s="413"/>
      <c r="Z665" s="413"/>
    </row>
    <row r="666">
      <c r="A666" s="452"/>
      <c r="B666" s="439"/>
      <c r="C666" s="454"/>
      <c r="D666" s="454"/>
      <c r="E666" s="439"/>
      <c r="F666" s="439"/>
      <c r="G666" s="454"/>
      <c r="H666" s="454"/>
      <c r="I666" s="456"/>
      <c r="J666" s="459"/>
      <c r="K666" s="458"/>
      <c r="L666" s="454"/>
      <c r="M666" s="453"/>
      <c r="N666" s="413"/>
      <c r="O666" s="413"/>
      <c r="P666" s="413"/>
      <c r="Q666" s="413"/>
      <c r="R666" s="413"/>
      <c r="S666" s="413"/>
      <c r="T666" s="413"/>
      <c r="U666" s="413"/>
      <c r="V666" s="413"/>
      <c r="W666" s="413"/>
      <c r="X666" s="413"/>
      <c r="Y666" s="413"/>
      <c r="Z666" s="413"/>
    </row>
    <row r="667">
      <c r="A667" s="452"/>
      <c r="B667" s="439"/>
      <c r="C667" s="454"/>
      <c r="D667" s="454"/>
      <c r="E667" s="439"/>
      <c r="F667" s="439"/>
      <c r="G667" s="454"/>
      <c r="H667" s="454"/>
      <c r="I667" s="456"/>
      <c r="J667" s="459"/>
      <c r="K667" s="458"/>
      <c r="L667" s="454"/>
      <c r="M667" s="453"/>
      <c r="N667" s="413"/>
      <c r="O667" s="413"/>
      <c r="P667" s="413"/>
      <c r="Q667" s="413"/>
      <c r="R667" s="413"/>
      <c r="S667" s="413"/>
      <c r="T667" s="413"/>
      <c r="U667" s="413"/>
      <c r="V667" s="413"/>
      <c r="W667" s="413"/>
      <c r="X667" s="413"/>
      <c r="Y667" s="413"/>
      <c r="Z667" s="413"/>
    </row>
    <row r="668">
      <c r="A668" s="452"/>
      <c r="B668" s="439"/>
      <c r="C668" s="454"/>
      <c r="D668" s="454"/>
      <c r="E668" s="439"/>
      <c r="F668" s="439"/>
      <c r="G668" s="454"/>
      <c r="H668" s="454"/>
      <c r="I668" s="456"/>
      <c r="J668" s="459"/>
      <c r="K668" s="458"/>
      <c r="L668" s="454"/>
      <c r="M668" s="453"/>
      <c r="N668" s="413"/>
      <c r="O668" s="413"/>
      <c r="P668" s="413"/>
      <c r="Q668" s="413"/>
      <c r="R668" s="413"/>
      <c r="S668" s="413"/>
      <c r="T668" s="413"/>
      <c r="U668" s="413"/>
      <c r="V668" s="413"/>
      <c r="W668" s="413"/>
      <c r="X668" s="413"/>
      <c r="Y668" s="413"/>
      <c r="Z668" s="413"/>
    </row>
    <row r="669">
      <c r="A669" s="452"/>
      <c r="B669" s="439"/>
      <c r="C669" s="454"/>
      <c r="D669" s="454"/>
      <c r="E669" s="439"/>
      <c r="F669" s="439"/>
      <c r="G669" s="454"/>
      <c r="H669" s="454"/>
      <c r="I669" s="456"/>
      <c r="J669" s="459"/>
      <c r="K669" s="458"/>
      <c r="L669" s="454"/>
      <c r="M669" s="453"/>
      <c r="N669" s="413"/>
      <c r="O669" s="413"/>
      <c r="P669" s="413"/>
      <c r="Q669" s="413"/>
      <c r="R669" s="413"/>
      <c r="S669" s="413"/>
      <c r="T669" s="413"/>
      <c r="U669" s="413"/>
      <c r="V669" s="413"/>
      <c r="W669" s="413"/>
      <c r="X669" s="413"/>
      <c r="Y669" s="413"/>
      <c r="Z669" s="413"/>
    </row>
    <row r="670">
      <c r="A670" s="452"/>
      <c r="B670" s="439"/>
      <c r="C670" s="454"/>
      <c r="D670" s="454"/>
      <c r="E670" s="439"/>
      <c r="F670" s="439"/>
      <c r="G670" s="454"/>
      <c r="H670" s="454"/>
      <c r="I670" s="456"/>
      <c r="J670" s="459"/>
      <c r="K670" s="458"/>
      <c r="L670" s="454"/>
      <c r="M670" s="453"/>
      <c r="N670" s="413"/>
      <c r="O670" s="413"/>
      <c r="P670" s="413"/>
      <c r="Q670" s="413"/>
      <c r="R670" s="413"/>
      <c r="S670" s="413"/>
      <c r="T670" s="413"/>
      <c r="U670" s="413"/>
      <c r="V670" s="413"/>
      <c r="W670" s="413"/>
      <c r="X670" s="413"/>
      <c r="Y670" s="413"/>
      <c r="Z670" s="413"/>
    </row>
    <row r="671">
      <c r="A671" s="452"/>
      <c r="B671" s="439"/>
      <c r="C671" s="454"/>
      <c r="D671" s="454"/>
      <c r="E671" s="439"/>
      <c r="F671" s="439"/>
      <c r="G671" s="454"/>
      <c r="H671" s="454"/>
      <c r="I671" s="456"/>
      <c r="J671" s="459"/>
      <c r="K671" s="458"/>
      <c r="L671" s="454"/>
      <c r="M671" s="453"/>
      <c r="N671" s="413"/>
      <c r="O671" s="413"/>
      <c r="P671" s="413"/>
      <c r="Q671" s="413"/>
      <c r="R671" s="413"/>
      <c r="S671" s="413"/>
      <c r="T671" s="413"/>
      <c r="U671" s="413"/>
      <c r="V671" s="413"/>
      <c r="W671" s="413"/>
      <c r="X671" s="413"/>
      <c r="Y671" s="413"/>
      <c r="Z671" s="413"/>
    </row>
    <row r="672">
      <c r="A672" s="452"/>
      <c r="B672" s="439"/>
      <c r="C672" s="454"/>
      <c r="D672" s="454"/>
      <c r="E672" s="439"/>
      <c r="F672" s="439"/>
      <c r="G672" s="454"/>
      <c r="H672" s="454"/>
      <c r="I672" s="456"/>
      <c r="J672" s="459"/>
      <c r="K672" s="458"/>
      <c r="L672" s="454"/>
      <c r="M672" s="453"/>
      <c r="N672" s="413"/>
      <c r="O672" s="413"/>
      <c r="P672" s="413"/>
      <c r="Q672" s="413"/>
      <c r="R672" s="413"/>
      <c r="S672" s="413"/>
      <c r="T672" s="413"/>
      <c r="U672" s="413"/>
      <c r="V672" s="413"/>
      <c r="W672" s="413"/>
      <c r="X672" s="413"/>
      <c r="Y672" s="413"/>
      <c r="Z672" s="413"/>
    </row>
    <row r="673">
      <c r="A673" s="452"/>
      <c r="B673" s="439"/>
      <c r="C673" s="454"/>
      <c r="D673" s="454"/>
      <c r="E673" s="439"/>
      <c r="F673" s="439"/>
      <c r="G673" s="454"/>
      <c r="H673" s="454"/>
      <c r="I673" s="456"/>
      <c r="J673" s="459"/>
      <c r="K673" s="458"/>
      <c r="L673" s="454"/>
      <c r="M673" s="453"/>
      <c r="N673" s="413"/>
      <c r="O673" s="413"/>
      <c r="P673" s="413"/>
      <c r="Q673" s="413"/>
      <c r="R673" s="413"/>
      <c r="S673" s="413"/>
      <c r="T673" s="413"/>
      <c r="U673" s="413"/>
      <c r="V673" s="413"/>
      <c r="W673" s="413"/>
      <c r="X673" s="413"/>
      <c r="Y673" s="413"/>
      <c r="Z673" s="413"/>
    </row>
    <row r="674">
      <c r="A674" s="452"/>
      <c r="B674" s="439"/>
      <c r="C674" s="454"/>
      <c r="D674" s="454"/>
      <c r="E674" s="439"/>
      <c r="F674" s="439"/>
      <c r="G674" s="454"/>
      <c r="H674" s="454"/>
      <c r="I674" s="456"/>
      <c r="J674" s="459"/>
      <c r="K674" s="458"/>
      <c r="L674" s="454"/>
      <c r="M674" s="453"/>
      <c r="N674" s="413"/>
      <c r="O674" s="413"/>
      <c r="P674" s="413"/>
      <c r="Q674" s="413"/>
      <c r="R674" s="413"/>
      <c r="S674" s="413"/>
      <c r="T674" s="413"/>
      <c r="U674" s="413"/>
      <c r="V674" s="413"/>
      <c r="W674" s="413"/>
      <c r="X674" s="413"/>
      <c r="Y674" s="413"/>
      <c r="Z674" s="413"/>
    </row>
    <row r="675">
      <c r="A675" s="452"/>
      <c r="B675" s="439"/>
      <c r="C675" s="454"/>
      <c r="D675" s="454"/>
      <c r="E675" s="439"/>
      <c r="F675" s="439"/>
      <c r="G675" s="454"/>
      <c r="H675" s="454"/>
      <c r="I675" s="456"/>
      <c r="J675" s="459"/>
      <c r="K675" s="458"/>
      <c r="L675" s="454"/>
      <c r="M675" s="453"/>
      <c r="N675" s="413"/>
      <c r="O675" s="413"/>
      <c r="P675" s="413"/>
      <c r="Q675" s="413"/>
      <c r="R675" s="413"/>
      <c r="S675" s="413"/>
      <c r="T675" s="413"/>
      <c r="U675" s="413"/>
      <c r="V675" s="413"/>
      <c r="W675" s="413"/>
      <c r="X675" s="413"/>
      <c r="Y675" s="413"/>
      <c r="Z675" s="413"/>
    </row>
    <row r="676">
      <c r="A676" s="452"/>
      <c r="B676" s="439"/>
      <c r="C676" s="454"/>
      <c r="D676" s="454"/>
      <c r="E676" s="439"/>
      <c r="F676" s="439"/>
      <c r="G676" s="454"/>
      <c r="H676" s="454"/>
      <c r="I676" s="456"/>
      <c r="J676" s="459"/>
      <c r="K676" s="458"/>
      <c r="L676" s="454"/>
      <c r="M676" s="453"/>
      <c r="N676" s="413"/>
      <c r="O676" s="413"/>
      <c r="P676" s="413"/>
      <c r="Q676" s="413"/>
      <c r="R676" s="413"/>
      <c r="S676" s="413"/>
      <c r="T676" s="413"/>
      <c r="U676" s="413"/>
      <c r="V676" s="413"/>
      <c r="W676" s="413"/>
      <c r="X676" s="413"/>
      <c r="Y676" s="413"/>
      <c r="Z676" s="413"/>
    </row>
    <row r="677">
      <c r="A677" s="452"/>
      <c r="B677" s="439"/>
      <c r="C677" s="454"/>
      <c r="D677" s="454"/>
      <c r="E677" s="439"/>
      <c r="F677" s="439"/>
      <c r="G677" s="454"/>
      <c r="H677" s="454"/>
      <c r="I677" s="456"/>
      <c r="J677" s="459"/>
      <c r="K677" s="458"/>
      <c r="L677" s="454"/>
      <c r="M677" s="453"/>
      <c r="N677" s="413"/>
      <c r="O677" s="413"/>
      <c r="P677" s="413"/>
      <c r="Q677" s="413"/>
      <c r="R677" s="413"/>
      <c r="S677" s="413"/>
      <c r="T677" s="413"/>
      <c r="U677" s="413"/>
      <c r="V677" s="413"/>
      <c r="W677" s="413"/>
      <c r="X677" s="413"/>
      <c r="Y677" s="413"/>
      <c r="Z677" s="413"/>
    </row>
    <row r="678">
      <c r="A678" s="452"/>
      <c r="B678" s="439"/>
      <c r="C678" s="454"/>
      <c r="D678" s="454"/>
      <c r="E678" s="439"/>
      <c r="F678" s="439"/>
      <c r="G678" s="454"/>
      <c r="H678" s="454"/>
      <c r="I678" s="456"/>
      <c r="J678" s="459"/>
      <c r="K678" s="458"/>
      <c r="L678" s="454"/>
      <c r="M678" s="453"/>
      <c r="N678" s="413"/>
      <c r="O678" s="413"/>
      <c r="P678" s="413"/>
      <c r="Q678" s="413"/>
      <c r="R678" s="413"/>
      <c r="S678" s="413"/>
      <c r="T678" s="413"/>
      <c r="U678" s="413"/>
      <c r="V678" s="413"/>
      <c r="W678" s="413"/>
      <c r="X678" s="413"/>
      <c r="Y678" s="413"/>
      <c r="Z678" s="413"/>
    </row>
    <row r="679">
      <c r="A679" s="452"/>
      <c r="B679" s="439"/>
      <c r="C679" s="454"/>
      <c r="D679" s="454"/>
      <c r="E679" s="439"/>
      <c r="F679" s="439"/>
      <c r="G679" s="454"/>
      <c r="H679" s="454"/>
      <c r="I679" s="456"/>
      <c r="J679" s="459"/>
      <c r="K679" s="458"/>
      <c r="L679" s="454"/>
      <c r="M679" s="453"/>
      <c r="N679" s="413"/>
      <c r="O679" s="413"/>
      <c r="P679" s="413"/>
      <c r="Q679" s="413"/>
      <c r="R679" s="413"/>
      <c r="S679" s="413"/>
      <c r="T679" s="413"/>
      <c r="U679" s="413"/>
      <c r="V679" s="413"/>
      <c r="W679" s="413"/>
      <c r="X679" s="413"/>
      <c r="Y679" s="413"/>
      <c r="Z679" s="413"/>
    </row>
    <row r="680">
      <c r="A680" s="452"/>
      <c r="B680" s="439"/>
      <c r="C680" s="454"/>
      <c r="D680" s="454"/>
      <c r="E680" s="439"/>
      <c r="F680" s="439"/>
      <c r="G680" s="454"/>
      <c r="H680" s="454"/>
      <c r="I680" s="456"/>
      <c r="J680" s="459"/>
      <c r="K680" s="458"/>
      <c r="L680" s="454"/>
      <c r="M680" s="453"/>
      <c r="N680" s="413"/>
      <c r="O680" s="413"/>
      <c r="P680" s="413"/>
      <c r="Q680" s="413"/>
      <c r="R680" s="413"/>
      <c r="S680" s="413"/>
      <c r="T680" s="413"/>
      <c r="U680" s="413"/>
      <c r="V680" s="413"/>
      <c r="W680" s="413"/>
      <c r="X680" s="413"/>
      <c r="Y680" s="413"/>
      <c r="Z680" s="413"/>
    </row>
    <row r="681">
      <c r="A681" s="452"/>
      <c r="B681" s="439"/>
      <c r="C681" s="454"/>
      <c r="D681" s="454"/>
      <c r="E681" s="439"/>
      <c r="F681" s="439"/>
      <c r="G681" s="454"/>
      <c r="H681" s="454"/>
      <c r="I681" s="456"/>
      <c r="J681" s="459"/>
      <c r="K681" s="458"/>
      <c r="L681" s="454"/>
      <c r="M681" s="453"/>
      <c r="N681" s="413"/>
      <c r="O681" s="413"/>
      <c r="P681" s="413"/>
      <c r="Q681" s="413"/>
      <c r="R681" s="413"/>
      <c r="S681" s="413"/>
      <c r="T681" s="413"/>
      <c r="U681" s="413"/>
      <c r="V681" s="413"/>
      <c r="W681" s="413"/>
      <c r="X681" s="413"/>
      <c r="Y681" s="413"/>
      <c r="Z681" s="413"/>
    </row>
    <row r="682">
      <c r="A682" s="452"/>
      <c r="B682" s="439"/>
      <c r="C682" s="454"/>
      <c r="D682" s="454"/>
      <c r="E682" s="439"/>
      <c r="F682" s="439"/>
      <c r="G682" s="454"/>
      <c r="H682" s="454"/>
      <c r="I682" s="456"/>
      <c r="J682" s="459"/>
      <c r="K682" s="458"/>
      <c r="L682" s="454"/>
      <c r="M682" s="453"/>
      <c r="N682" s="413"/>
      <c r="O682" s="413"/>
      <c r="P682" s="413"/>
      <c r="Q682" s="413"/>
      <c r="R682" s="413"/>
      <c r="S682" s="413"/>
      <c r="T682" s="413"/>
      <c r="U682" s="413"/>
      <c r="V682" s="413"/>
      <c r="W682" s="413"/>
      <c r="X682" s="413"/>
      <c r="Y682" s="413"/>
      <c r="Z682" s="413"/>
    </row>
    <row r="683">
      <c r="A683" s="452"/>
      <c r="B683" s="439"/>
      <c r="C683" s="454"/>
      <c r="D683" s="454"/>
      <c r="E683" s="439"/>
      <c r="F683" s="439"/>
      <c r="G683" s="454"/>
      <c r="H683" s="454"/>
      <c r="I683" s="456"/>
      <c r="J683" s="459"/>
      <c r="K683" s="458"/>
      <c r="L683" s="454"/>
      <c r="M683" s="453"/>
      <c r="N683" s="413"/>
      <c r="O683" s="413"/>
      <c r="P683" s="413"/>
      <c r="Q683" s="413"/>
      <c r="R683" s="413"/>
      <c r="S683" s="413"/>
      <c r="T683" s="413"/>
      <c r="U683" s="413"/>
      <c r="V683" s="413"/>
      <c r="W683" s="413"/>
      <c r="X683" s="413"/>
      <c r="Y683" s="413"/>
      <c r="Z683" s="413"/>
    </row>
    <row r="684">
      <c r="A684" s="452"/>
      <c r="B684" s="439"/>
      <c r="C684" s="454"/>
      <c r="D684" s="454"/>
      <c r="E684" s="439"/>
      <c r="F684" s="439"/>
      <c r="G684" s="454"/>
      <c r="H684" s="454"/>
      <c r="I684" s="456"/>
      <c r="J684" s="459"/>
      <c r="K684" s="458"/>
      <c r="L684" s="454"/>
      <c r="M684" s="453"/>
      <c r="N684" s="413"/>
      <c r="O684" s="413"/>
      <c r="P684" s="413"/>
      <c r="Q684" s="413"/>
      <c r="R684" s="413"/>
      <c r="S684" s="413"/>
      <c r="T684" s="413"/>
      <c r="U684" s="413"/>
      <c r="V684" s="413"/>
      <c r="W684" s="413"/>
      <c r="X684" s="413"/>
      <c r="Y684" s="413"/>
      <c r="Z684" s="413"/>
    </row>
    <row r="685">
      <c r="A685" s="452"/>
      <c r="B685" s="439"/>
      <c r="C685" s="454"/>
      <c r="D685" s="454"/>
      <c r="E685" s="439"/>
      <c r="F685" s="439"/>
      <c r="G685" s="454"/>
      <c r="H685" s="454"/>
      <c r="I685" s="456"/>
      <c r="J685" s="459"/>
      <c r="K685" s="458"/>
      <c r="L685" s="454"/>
      <c r="M685" s="453"/>
      <c r="N685" s="413"/>
      <c r="O685" s="413"/>
      <c r="P685" s="413"/>
      <c r="Q685" s="413"/>
      <c r="R685" s="413"/>
      <c r="S685" s="413"/>
      <c r="T685" s="413"/>
      <c r="U685" s="413"/>
      <c r="V685" s="413"/>
      <c r="W685" s="413"/>
      <c r="X685" s="413"/>
      <c r="Y685" s="413"/>
      <c r="Z685" s="413"/>
    </row>
    <row r="686">
      <c r="A686" s="452"/>
      <c r="B686" s="439"/>
      <c r="C686" s="454"/>
      <c r="D686" s="454"/>
      <c r="E686" s="439"/>
      <c r="F686" s="439"/>
      <c r="G686" s="454"/>
      <c r="H686" s="454"/>
      <c r="I686" s="456"/>
      <c r="J686" s="459"/>
      <c r="K686" s="458"/>
      <c r="L686" s="454"/>
      <c r="M686" s="453"/>
      <c r="N686" s="413"/>
      <c r="O686" s="413"/>
      <c r="P686" s="413"/>
      <c r="Q686" s="413"/>
      <c r="R686" s="413"/>
      <c r="S686" s="413"/>
      <c r="T686" s="413"/>
      <c r="U686" s="413"/>
      <c r="V686" s="413"/>
      <c r="W686" s="413"/>
      <c r="X686" s="413"/>
      <c r="Y686" s="413"/>
      <c r="Z686" s="413"/>
    </row>
    <row r="687">
      <c r="A687" s="452"/>
      <c r="B687" s="439"/>
      <c r="C687" s="454"/>
      <c r="D687" s="454"/>
      <c r="E687" s="439"/>
      <c r="F687" s="439"/>
      <c r="G687" s="454"/>
      <c r="H687" s="454"/>
      <c r="I687" s="456"/>
      <c r="J687" s="459"/>
      <c r="K687" s="458"/>
      <c r="L687" s="454"/>
      <c r="M687" s="453"/>
      <c r="N687" s="413"/>
      <c r="O687" s="413"/>
      <c r="P687" s="413"/>
      <c r="Q687" s="413"/>
      <c r="R687" s="413"/>
      <c r="S687" s="413"/>
      <c r="T687" s="413"/>
      <c r="U687" s="413"/>
      <c r="V687" s="413"/>
      <c r="W687" s="413"/>
      <c r="X687" s="413"/>
      <c r="Y687" s="413"/>
      <c r="Z687" s="413"/>
    </row>
    <row r="688">
      <c r="A688" s="452"/>
      <c r="B688" s="439"/>
      <c r="C688" s="454"/>
      <c r="D688" s="454"/>
      <c r="E688" s="439"/>
      <c r="F688" s="439"/>
      <c r="G688" s="454"/>
      <c r="H688" s="454"/>
      <c r="I688" s="456"/>
      <c r="J688" s="459"/>
      <c r="K688" s="458"/>
      <c r="L688" s="454"/>
      <c r="M688" s="453"/>
      <c r="N688" s="413"/>
      <c r="O688" s="413"/>
      <c r="P688" s="413"/>
      <c r="Q688" s="413"/>
      <c r="R688" s="413"/>
      <c r="S688" s="413"/>
      <c r="T688" s="413"/>
      <c r="U688" s="413"/>
      <c r="V688" s="413"/>
      <c r="W688" s="413"/>
      <c r="X688" s="413"/>
      <c r="Y688" s="413"/>
      <c r="Z688" s="413"/>
    </row>
    <row r="689">
      <c r="A689" s="452"/>
      <c r="B689" s="439"/>
      <c r="C689" s="454"/>
      <c r="D689" s="454"/>
      <c r="E689" s="439"/>
      <c r="F689" s="439"/>
      <c r="G689" s="454"/>
      <c r="H689" s="454"/>
      <c r="I689" s="456"/>
      <c r="J689" s="459"/>
      <c r="K689" s="458"/>
      <c r="L689" s="454"/>
      <c r="M689" s="453"/>
      <c r="N689" s="413"/>
      <c r="O689" s="413"/>
      <c r="P689" s="413"/>
      <c r="Q689" s="413"/>
      <c r="R689" s="413"/>
      <c r="S689" s="413"/>
      <c r="T689" s="413"/>
      <c r="U689" s="413"/>
      <c r="V689" s="413"/>
      <c r="W689" s="413"/>
      <c r="X689" s="413"/>
      <c r="Y689" s="413"/>
      <c r="Z689" s="413"/>
    </row>
    <row r="690">
      <c r="A690" s="452"/>
      <c r="B690" s="439"/>
      <c r="C690" s="454"/>
      <c r="D690" s="454"/>
      <c r="E690" s="439"/>
      <c r="F690" s="439"/>
      <c r="G690" s="454"/>
      <c r="H690" s="454"/>
      <c r="I690" s="456"/>
      <c r="J690" s="459"/>
      <c r="K690" s="458"/>
      <c r="L690" s="454"/>
      <c r="M690" s="453"/>
      <c r="N690" s="413"/>
      <c r="O690" s="413"/>
      <c r="P690" s="413"/>
      <c r="Q690" s="413"/>
      <c r="R690" s="413"/>
      <c r="S690" s="413"/>
      <c r="T690" s="413"/>
      <c r="U690" s="413"/>
      <c r="V690" s="413"/>
      <c r="W690" s="413"/>
      <c r="X690" s="413"/>
      <c r="Y690" s="413"/>
      <c r="Z690" s="413"/>
    </row>
    <row r="691">
      <c r="A691" s="452"/>
      <c r="B691" s="439"/>
      <c r="C691" s="454"/>
      <c r="D691" s="454"/>
      <c r="E691" s="439"/>
      <c r="F691" s="439"/>
      <c r="G691" s="454"/>
      <c r="H691" s="454"/>
      <c r="I691" s="456"/>
      <c r="J691" s="459"/>
      <c r="K691" s="458"/>
      <c r="L691" s="454"/>
      <c r="M691" s="453"/>
      <c r="N691" s="413"/>
      <c r="O691" s="413"/>
      <c r="P691" s="413"/>
      <c r="Q691" s="413"/>
      <c r="R691" s="413"/>
      <c r="S691" s="413"/>
      <c r="T691" s="413"/>
      <c r="U691" s="413"/>
      <c r="V691" s="413"/>
      <c r="W691" s="413"/>
      <c r="X691" s="413"/>
      <c r="Y691" s="413"/>
      <c r="Z691" s="413"/>
    </row>
    <row r="692">
      <c r="A692" s="452"/>
      <c r="B692" s="439"/>
      <c r="C692" s="454"/>
      <c r="D692" s="454"/>
      <c r="E692" s="439"/>
      <c r="F692" s="439"/>
      <c r="G692" s="454"/>
      <c r="H692" s="454"/>
      <c r="I692" s="456"/>
      <c r="J692" s="459"/>
      <c r="K692" s="458"/>
      <c r="L692" s="454"/>
      <c r="M692" s="453"/>
      <c r="N692" s="413"/>
      <c r="O692" s="413"/>
      <c r="P692" s="413"/>
      <c r="Q692" s="413"/>
      <c r="R692" s="413"/>
      <c r="S692" s="413"/>
      <c r="T692" s="413"/>
      <c r="U692" s="413"/>
      <c r="V692" s="413"/>
      <c r="W692" s="413"/>
      <c r="X692" s="413"/>
      <c r="Y692" s="413"/>
      <c r="Z692" s="413"/>
    </row>
    <row r="693">
      <c r="A693" s="452"/>
      <c r="B693" s="439"/>
      <c r="C693" s="454"/>
      <c r="D693" s="454"/>
      <c r="E693" s="439"/>
      <c r="F693" s="439"/>
      <c r="G693" s="454"/>
      <c r="H693" s="454"/>
      <c r="I693" s="456"/>
      <c r="J693" s="459"/>
      <c r="K693" s="458"/>
      <c r="L693" s="454"/>
      <c r="M693" s="453"/>
      <c r="N693" s="413"/>
      <c r="O693" s="413"/>
      <c r="P693" s="413"/>
      <c r="Q693" s="413"/>
      <c r="R693" s="413"/>
      <c r="S693" s="413"/>
      <c r="T693" s="413"/>
      <c r="U693" s="413"/>
      <c r="V693" s="413"/>
      <c r="W693" s="413"/>
      <c r="X693" s="413"/>
      <c r="Y693" s="413"/>
      <c r="Z693" s="413"/>
    </row>
    <row r="694">
      <c r="A694" s="452"/>
      <c r="B694" s="439"/>
      <c r="C694" s="454"/>
      <c r="D694" s="454"/>
      <c r="E694" s="439"/>
      <c r="F694" s="439"/>
      <c r="G694" s="454"/>
      <c r="H694" s="454"/>
      <c r="I694" s="456"/>
      <c r="J694" s="459"/>
      <c r="K694" s="458"/>
      <c r="L694" s="454"/>
      <c r="M694" s="453"/>
      <c r="N694" s="413"/>
      <c r="O694" s="413"/>
      <c r="P694" s="413"/>
      <c r="Q694" s="413"/>
      <c r="R694" s="413"/>
      <c r="S694" s="413"/>
      <c r="T694" s="413"/>
      <c r="U694" s="413"/>
      <c r="V694" s="413"/>
      <c r="W694" s="413"/>
      <c r="X694" s="413"/>
      <c r="Y694" s="413"/>
      <c r="Z694" s="413"/>
    </row>
    <row r="695">
      <c r="A695" s="452"/>
      <c r="B695" s="439"/>
      <c r="C695" s="454"/>
      <c r="D695" s="454"/>
      <c r="E695" s="439"/>
      <c r="F695" s="439"/>
      <c r="G695" s="454"/>
      <c r="H695" s="454"/>
      <c r="I695" s="456"/>
      <c r="J695" s="459"/>
      <c r="K695" s="458"/>
      <c r="L695" s="454"/>
      <c r="M695" s="453"/>
      <c r="N695" s="413"/>
      <c r="O695" s="413"/>
      <c r="P695" s="413"/>
      <c r="Q695" s="413"/>
      <c r="R695" s="413"/>
      <c r="S695" s="413"/>
      <c r="T695" s="413"/>
      <c r="U695" s="413"/>
      <c r="V695" s="413"/>
      <c r="W695" s="413"/>
      <c r="X695" s="413"/>
      <c r="Y695" s="413"/>
      <c r="Z695" s="413"/>
    </row>
    <row r="696">
      <c r="A696" s="452"/>
      <c r="B696" s="439"/>
      <c r="C696" s="454"/>
      <c r="D696" s="454"/>
      <c r="E696" s="439"/>
      <c r="F696" s="439"/>
      <c r="G696" s="454"/>
      <c r="H696" s="454"/>
      <c r="I696" s="456"/>
      <c r="J696" s="459"/>
      <c r="K696" s="458"/>
      <c r="L696" s="454"/>
      <c r="M696" s="453"/>
      <c r="N696" s="413"/>
      <c r="O696" s="413"/>
      <c r="P696" s="413"/>
      <c r="Q696" s="413"/>
      <c r="R696" s="413"/>
      <c r="S696" s="413"/>
      <c r="T696" s="413"/>
      <c r="U696" s="413"/>
      <c r="V696" s="413"/>
      <c r="W696" s="413"/>
      <c r="X696" s="413"/>
      <c r="Y696" s="413"/>
      <c r="Z696" s="413"/>
    </row>
    <row r="697">
      <c r="A697" s="452"/>
      <c r="B697" s="439"/>
      <c r="C697" s="454"/>
      <c r="D697" s="454"/>
      <c r="E697" s="439"/>
      <c r="F697" s="439"/>
      <c r="G697" s="454"/>
      <c r="H697" s="454"/>
      <c r="I697" s="456"/>
      <c r="J697" s="459"/>
      <c r="K697" s="458"/>
      <c r="L697" s="454"/>
      <c r="M697" s="453"/>
      <c r="N697" s="413"/>
      <c r="O697" s="413"/>
      <c r="P697" s="413"/>
      <c r="Q697" s="413"/>
      <c r="R697" s="413"/>
      <c r="S697" s="413"/>
      <c r="T697" s="413"/>
      <c r="U697" s="413"/>
      <c r="V697" s="413"/>
      <c r="W697" s="413"/>
      <c r="X697" s="413"/>
      <c r="Y697" s="413"/>
      <c r="Z697" s="413"/>
    </row>
    <row r="698">
      <c r="A698" s="452"/>
      <c r="B698" s="439"/>
      <c r="C698" s="454"/>
      <c r="D698" s="454"/>
      <c r="E698" s="439"/>
      <c r="F698" s="439"/>
      <c r="G698" s="454"/>
      <c r="H698" s="454"/>
      <c r="I698" s="456"/>
      <c r="J698" s="459"/>
      <c r="K698" s="458"/>
      <c r="L698" s="454"/>
      <c r="M698" s="453"/>
      <c r="N698" s="413"/>
      <c r="O698" s="413"/>
      <c r="P698" s="413"/>
      <c r="Q698" s="413"/>
      <c r="R698" s="413"/>
      <c r="S698" s="413"/>
      <c r="T698" s="413"/>
      <c r="U698" s="413"/>
      <c r="V698" s="413"/>
      <c r="W698" s="413"/>
      <c r="X698" s="413"/>
      <c r="Y698" s="413"/>
      <c r="Z698" s="413"/>
    </row>
    <row r="699">
      <c r="A699" s="452"/>
      <c r="B699" s="439"/>
      <c r="C699" s="454"/>
      <c r="D699" s="454"/>
      <c r="E699" s="439"/>
      <c r="F699" s="439"/>
      <c r="G699" s="454"/>
      <c r="H699" s="454"/>
      <c r="I699" s="456"/>
      <c r="J699" s="459"/>
      <c r="K699" s="458"/>
      <c r="L699" s="454"/>
      <c r="M699" s="453"/>
      <c r="N699" s="413"/>
      <c r="O699" s="413"/>
      <c r="P699" s="413"/>
      <c r="Q699" s="413"/>
      <c r="R699" s="413"/>
      <c r="S699" s="413"/>
      <c r="T699" s="413"/>
      <c r="U699" s="413"/>
      <c r="V699" s="413"/>
      <c r="W699" s="413"/>
      <c r="X699" s="413"/>
      <c r="Y699" s="413"/>
      <c r="Z699" s="413"/>
    </row>
    <row r="700">
      <c r="A700" s="452"/>
      <c r="B700" s="439"/>
      <c r="C700" s="454"/>
      <c r="D700" s="454"/>
      <c r="E700" s="439"/>
      <c r="F700" s="439"/>
      <c r="G700" s="454"/>
      <c r="H700" s="454"/>
      <c r="I700" s="456"/>
      <c r="J700" s="459"/>
      <c r="K700" s="458"/>
      <c r="L700" s="454"/>
      <c r="M700" s="453"/>
      <c r="N700" s="413"/>
      <c r="O700" s="413"/>
      <c r="P700" s="413"/>
      <c r="Q700" s="413"/>
      <c r="R700" s="413"/>
      <c r="S700" s="413"/>
      <c r="T700" s="413"/>
      <c r="U700" s="413"/>
      <c r="V700" s="413"/>
      <c r="W700" s="413"/>
      <c r="X700" s="413"/>
      <c r="Y700" s="413"/>
      <c r="Z700" s="413"/>
    </row>
    <row r="701">
      <c r="A701" s="452"/>
      <c r="B701" s="439"/>
      <c r="C701" s="454"/>
      <c r="D701" s="454"/>
      <c r="E701" s="439"/>
      <c r="F701" s="439"/>
      <c r="G701" s="454"/>
      <c r="H701" s="454"/>
      <c r="I701" s="456"/>
      <c r="J701" s="459"/>
      <c r="K701" s="458"/>
      <c r="L701" s="454"/>
      <c r="M701" s="453"/>
      <c r="N701" s="413"/>
      <c r="O701" s="413"/>
      <c r="P701" s="413"/>
      <c r="Q701" s="413"/>
      <c r="R701" s="413"/>
      <c r="S701" s="413"/>
      <c r="T701" s="413"/>
      <c r="U701" s="413"/>
      <c r="V701" s="413"/>
      <c r="W701" s="413"/>
      <c r="X701" s="413"/>
      <c r="Y701" s="413"/>
      <c r="Z701" s="413"/>
    </row>
    <row r="702">
      <c r="A702" s="452"/>
      <c r="B702" s="439"/>
      <c r="C702" s="454"/>
      <c r="D702" s="454"/>
      <c r="E702" s="439"/>
      <c r="F702" s="439"/>
      <c r="G702" s="454"/>
      <c r="H702" s="454"/>
      <c r="I702" s="456"/>
      <c r="J702" s="459"/>
      <c r="K702" s="458"/>
      <c r="L702" s="454"/>
      <c r="M702" s="453"/>
      <c r="N702" s="413"/>
      <c r="O702" s="413"/>
      <c r="P702" s="413"/>
      <c r="Q702" s="413"/>
      <c r="R702" s="413"/>
      <c r="S702" s="413"/>
      <c r="T702" s="413"/>
      <c r="U702" s="413"/>
      <c r="V702" s="413"/>
      <c r="W702" s="413"/>
      <c r="X702" s="413"/>
      <c r="Y702" s="413"/>
      <c r="Z702" s="413"/>
    </row>
    <row r="703">
      <c r="A703" s="452"/>
      <c r="B703" s="439"/>
      <c r="C703" s="454"/>
      <c r="D703" s="454"/>
      <c r="E703" s="439"/>
      <c r="F703" s="439"/>
      <c r="G703" s="454"/>
      <c r="H703" s="454"/>
      <c r="I703" s="456"/>
      <c r="J703" s="459"/>
      <c r="K703" s="458"/>
      <c r="L703" s="454"/>
      <c r="M703" s="453"/>
      <c r="N703" s="413"/>
      <c r="O703" s="413"/>
      <c r="P703" s="413"/>
      <c r="Q703" s="413"/>
      <c r="R703" s="413"/>
      <c r="S703" s="413"/>
      <c r="T703" s="413"/>
      <c r="U703" s="413"/>
      <c r="V703" s="413"/>
      <c r="W703" s="413"/>
      <c r="X703" s="413"/>
      <c r="Y703" s="413"/>
      <c r="Z703" s="413"/>
    </row>
    <row r="704">
      <c r="A704" s="452"/>
      <c r="B704" s="439"/>
      <c r="C704" s="454"/>
      <c r="D704" s="454"/>
      <c r="E704" s="439"/>
      <c r="F704" s="439"/>
      <c r="G704" s="454"/>
      <c r="H704" s="454"/>
      <c r="I704" s="456"/>
      <c r="J704" s="459"/>
      <c r="K704" s="458"/>
      <c r="L704" s="454"/>
      <c r="M704" s="453"/>
      <c r="N704" s="413"/>
      <c r="O704" s="413"/>
      <c r="P704" s="413"/>
      <c r="Q704" s="413"/>
      <c r="R704" s="413"/>
      <c r="S704" s="413"/>
      <c r="T704" s="413"/>
      <c r="U704" s="413"/>
      <c r="V704" s="413"/>
      <c r="W704" s="413"/>
      <c r="X704" s="413"/>
      <c r="Y704" s="413"/>
      <c r="Z704" s="413"/>
    </row>
    <row r="705">
      <c r="A705" s="452"/>
      <c r="B705" s="439"/>
      <c r="C705" s="454"/>
      <c r="D705" s="454"/>
      <c r="E705" s="439"/>
      <c r="F705" s="439"/>
      <c r="G705" s="454"/>
      <c r="H705" s="454"/>
      <c r="I705" s="456"/>
      <c r="J705" s="459"/>
      <c r="K705" s="458"/>
      <c r="L705" s="454"/>
      <c r="M705" s="453"/>
      <c r="N705" s="413"/>
      <c r="O705" s="413"/>
      <c r="P705" s="413"/>
      <c r="Q705" s="413"/>
      <c r="R705" s="413"/>
      <c r="S705" s="413"/>
      <c r="T705" s="413"/>
      <c r="U705" s="413"/>
      <c r="V705" s="413"/>
      <c r="W705" s="413"/>
      <c r="X705" s="413"/>
      <c r="Y705" s="413"/>
      <c r="Z705" s="413"/>
    </row>
    <row r="706">
      <c r="A706" s="452"/>
      <c r="B706" s="439"/>
      <c r="C706" s="454"/>
      <c r="D706" s="454"/>
      <c r="E706" s="439"/>
      <c r="F706" s="439"/>
      <c r="G706" s="454"/>
      <c r="H706" s="454"/>
      <c r="I706" s="456"/>
      <c r="J706" s="459"/>
      <c r="K706" s="458"/>
      <c r="L706" s="454"/>
      <c r="M706" s="453"/>
      <c r="N706" s="413"/>
      <c r="O706" s="413"/>
      <c r="P706" s="413"/>
      <c r="Q706" s="413"/>
      <c r="R706" s="413"/>
      <c r="S706" s="413"/>
      <c r="T706" s="413"/>
      <c r="U706" s="413"/>
      <c r="V706" s="413"/>
      <c r="W706" s="413"/>
      <c r="X706" s="413"/>
      <c r="Y706" s="413"/>
      <c r="Z706" s="413"/>
    </row>
    <row r="707">
      <c r="A707" s="452"/>
      <c r="B707" s="439"/>
      <c r="C707" s="454"/>
      <c r="D707" s="454"/>
      <c r="E707" s="439"/>
      <c r="F707" s="439"/>
      <c r="G707" s="454"/>
      <c r="H707" s="454"/>
      <c r="I707" s="456"/>
      <c r="J707" s="459"/>
      <c r="K707" s="458"/>
      <c r="L707" s="454"/>
      <c r="M707" s="453"/>
      <c r="N707" s="413"/>
      <c r="O707" s="413"/>
      <c r="P707" s="413"/>
      <c r="Q707" s="413"/>
      <c r="R707" s="413"/>
      <c r="S707" s="413"/>
      <c r="T707" s="413"/>
      <c r="U707" s="413"/>
      <c r="V707" s="413"/>
      <c r="W707" s="413"/>
      <c r="X707" s="413"/>
      <c r="Y707" s="413"/>
      <c r="Z707" s="413"/>
    </row>
    <row r="708">
      <c r="A708" s="452"/>
      <c r="B708" s="439"/>
      <c r="C708" s="454"/>
      <c r="D708" s="454"/>
      <c r="E708" s="439"/>
      <c r="F708" s="439"/>
      <c r="G708" s="454"/>
      <c r="H708" s="454"/>
      <c r="I708" s="456"/>
      <c r="J708" s="459"/>
      <c r="K708" s="458"/>
      <c r="L708" s="454"/>
      <c r="M708" s="453"/>
      <c r="N708" s="413"/>
      <c r="O708" s="413"/>
      <c r="P708" s="413"/>
      <c r="Q708" s="413"/>
      <c r="R708" s="413"/>
      <c r="S708" s="413"/>
      <c r="T708" s="413"/>
      <c r="U708" s="413"/>
      <c r="V708" s="413"/>
      <c r="W708" s="413"/>
      <c r="X708" s="413"/>
      <c r="Y708" s="413"/>
      <c r="Z708" s="413"/>
    </row>
    <row r="709">
      <c r="A709" s="452"/>
      <c r="B709" s="439"/>
      <c r="C709" s="454"/>
      <c r="D709" s="454"/>
      <c r="E709" s="439"/>
      <c r="F709" s="439"/>
      <c r="G709" s="454"/>
      <c r="H709" s="454"/>
      <c r="I709" s="456"/>
      <c r="J709" s="459"/>
      <c r="K709" s="458"/>
      <c r="L709" s="454"/>
      <c r="M709" s="453"/>
      <c r="N709" s="413"/>
      <c r="O709" s="413"/>
      <c r="P709" s="413"/>
      <c r="Q709" s="413"/>
      <c r="R709" s="413"/>
      <c r="S709" s="413"/>
      <c r="T709" s="413"/>
      <c r="U709" s="413"/>
      <c r="V709" s="413"/>
      <c r="W709" s="413"/>
      <c r="X709" s="413"/>
      <c r="Y709" s="413"/>
      <c r="Z709" s="413"/>
    </row>
    <row r="710">
      <c r="A710" s="452"/>
      <c r="B710" s="439"/>
      <c r="C710" s="454"/>
      <c r="D710" s="454"/>
      <c r="E710" s="439"/>
      <c r="F710" s="439"/>
      <c r="G710" s="454"/>
      <c r="H710" s="454"/>
      <c r="I710" s="456"/>
      <c r="J710" s="459"/>
      <c r="K710" s="458"/>
      <c r="L710" s="454"/>
      <c r="M710" s="453"/>
      <c r="N710" s="413"/>
      <c r="O710" s="413"/>
      <c r="P710" s="413"/>
      <c r="Q710" s="413"/>
      <c r="R710" s="413"/>
      <c r="S710" s="413"/>
      <c r="T710" s="413"/>
      <c r="U710" s="413"/>
      <c r="V710" s="413"/>
      <c r="W710" s="413"/>
      <c r="X710" s="413"/>
      <c r="Y710" s="413"/>
      <c r="Z710" s="413"/>
    </row>
    <row r="711">
      <c r="A711" s="452"/>
      <c r="B711" s="439"/>
      <c r="C711" s="454"/>
      <c r="D711" s="454"/>
      <c r="E711" s="439"/>
      <c r="F711" s="439"/>
      <c r="G711" s="454"/>
      <c r="H711" s="454"/>
      <c r="I711" s="456"/>
      <c r="J711" s="459"/>
      <c r="K711" s="458"/>
      <c r="L711" s="454"/>
      <c r="M711" s="453"/>
      <c r="N711" s="413"/>
      <c r="O711" s="413"/>
      <c r="P711" s="413"/>
      <c r="Q711" s="413"/>
      <c r="R711" s="413"/>
      <c r="S711" s="413"/>
      <c r="T711" s="413"/>
      <c r="U711" s="413"/>
      <c r="V711" s="413"/>
      <c r="W711" s="413"/>
      <c r="X711" s="413"/>
      <c r="Y711" s="413"/>
      <c r="Z711" s="413"/>
    </row>
    <row r="712">
      <c r="A712" s="452"/>
      <c r="B712" s="439"/>
      <c r="C712" s="454"/>
      <c r="D712" s="454"/>
      <c r="E712" s="439"/>
      <c r="F712" s="439"/>
      <c r="G712" s="454"/>
      <c r="H712" s="454"/>
      <c r="I712" s="456"/>
      <c r="J712" s="459"/>
      <c r="K712" s="458"/>
      <c r="L712" s="454"/>
      <c r="M712" s="453"/>
      <c r="N712" s="413"/>
      <c r="O712" s="413"/>
      <c r="P712" s="413"/>
      <c r="Q712" s="413"/>
      <c r="R712" s="413"/>
      <c r="S712" s="413"/>
      <c r="T712" s="413"/>
      <c r="U712" s="413"/>
      <c r="V712" s="413"/>
      <c r="W712" s="413"/>
      <c r="X712" s="413"/>
      <c r="Y712" s="413"/>
      <c r="Z712" s="413"/>
    </row>
    <row r="713">
      <c r="A713" s="452"/>
      <c r="B713" s="439"/>
      <c r="C713" s="454"/>
      <c r="D713" s="454"/>
      <c r="E713" s="439"/>
      <c r="F713" s="439"/>
      <c r="G713" s="454"/>
      <c r="H713" s="454"/>
      <c r="I713" s="456"/>
      <c r="J713" s="459"/>
      <c r="K713" s="458"/>
      <c r="L713" s="454"/>
      <c r="M713" s="453"/>
      <c r="N713" s="413"/>
      <c r="O713" s="413"/>
      <c r="P713" s="413"/>
      <c r="Q713" s="413"/>
      <c r="R713" s="413"/>
      <c r="S713" s="413"/>
      <c r="T713" s="413"/>
      <c r="U713" s="413"/>
      <c r="V713" s="413"/>
      <c r="W713" s="413"/>
      <c r="X713" s="413"/>
      <c r="Y713" s="413"/>
      <c r="Z713" s="413"/>
    </row>
    <row r="714">
      <c r="A714" s="452"/>
      <c r="B714" s="439"/>
      <c r="C714" s="454"/>
      <c r="D714" s="454"/>
      <c r="E714" s="439"/>
      <c r="F714" s="439"/>
      <c r="G714" s="454"/>
      <c r="H714" s="454"/>
      <c r="I714" s="456"/>
      <c r="J714" s="459"/>
      <c r="K714" s="458"/>
      <c r="L714" s="454"/>
      <c r="M714" s="453"/>
      <c r="N714" s="413"/>
      <c r="O714" s="413"/>
      <c r="P714" s="413"/>
      <c r="Q714" s="413"/>
      <c r="R714" s="413"/>
      <c r="S714" s="413"/>
      <c r="T714" s="413"/>
      <c r="U714" s="413"/>
      <c r="V714" s="413"/>
      <c r="W714" s="413"/>
      <c r="X714" s="413"/>
      <c r="Y714" s="413"/>
      <c r="Z714" s="413"/>
    </row>
    <row r="715">
      <c r="A715" s="452"/>
      <c r="B715" s="439"/>
      <c r="C715" s="454"/>
      <c r="D715" s="454"/>
      <c r="E715" s="439"/>
      <c r="F715" s="439"/>
      <c r="G715" s="454"/>
      <c r="H715" s="454"/>
      <c r="I715" s="456"/>
      <c r="J715" s="459"/>
      <c r="K715" s="458"/>
      <c r="L715" s="454"/>
      <c r="M715" s="453"/>
      <c r="N715" s="413"/>
      <c r="O715" s="413"/>
      <c r="P715" s="413"/>
      <c r="Q715" s="413"/>
      <c r="R715" s="413"/>
      <c r="S715" s="413"/>
      <c r="T715" s="413"/>
      <c r="U715" s="413"/>
      <c r="V715" s="413"/>
      <c r="W715" s="413"/>
      <c r="X715" s="413"/>
      <c r="Y715" s="413"/>
      <c r="Z715" s="413"/>
    </row>
    <row r="716">
      <c r="A716" s="452"/>
      <c r="B716" s="439"/>
      <c r="C716" s="454"/>
      <c r="D716" s="454"/>
      <c r="E716" s="439"/>
      <c r="F716" s="439"/>
      <c r="G716" s="454"/>
      <c r="H716" s="454"/>
      <c r="I716" s="456"/>
      <c r="J716" s="459"/>
      <c r="K716" s="458"/>
      <c r="L716" s="454"/>
      <c r="M716" s="453"/>
      <c r="N716" s="413"/>
      <c r="O716" s="413"/>
      <c r="P716" s="413"/>
      <c r="Q716" s="413"/>
      <c r="R716" s="413"/>
      <c r="S716" s="413"/>
      <c r="T716" s="413"/>
      <c r="U716" s="413"/>
      <c r="V716" s="413"/>
      <c r="W716" s="413"/>
      <c r="X716" s="413"/>
      <c r="Y716" s="413"/>
      <c r="Z716" s="413"/>
    </row>
    <row r="717">
      <c r="A717" s="452"/>
      <c r="B717" s="439"/>
      <c r="C717" s="454"/>
      <c r="D717" s="454"/>
      <c r="E717" s="439"/>
      <c r="F717" s="439"/>
      <c r="G717" s="454"/>
      <c r="H717" s="454"/>
      <c r="I717" s="456"/>
      <c r="J717" s="459"/>
      <c r="K717" s="458"/>
      <c r="L717" s="454"/>
      <c r="M717" s="453"/>
      <c r="N717" s="413"/>
      <c r="O717" s="413"/>
      <c r="P717" s="413"/>
      <c r="Q717" s="413"/>
      <c r="R717" s="413"/>
      <c r="S717" s="413"/>
      <c r="T717" s="413"/>
      <c r="U717" s="413"/>
      <c r="V717" s="413"/>
      <c r="W717" s="413"/>
      <c r="X717" s="413"/>
      <c r="Y717" s="413"/>
      <c r="Z717" s="413"/>
    </row>
    <row r="718">
      <c r="A718" s="452"/>
      <c r="B718" s="439"/>
      <c r="C718" s="454"/>
      <c r="D718" s="454"/>
      <c r="E718" s="439"/>
      <c r="F718" s="439"/>
      <c r="G718" s="454"/>
      <c r="H718" s="454"/>
      <c r="I718" s="456"/>
      <c r="J718" s="459"/>
      <c r="K718" s="458"/>
      <c r="L718" s="454"/>
      <c r="M718" s="453"/>
      <c r="N718" s="413"/>
      <c r="O718" s="413"/>
      <c r="P718" s="413"/>
      <c r="Q718" s="413"/>
      <c r="R718" s="413"/>
      <c r="S718" s="413"/>
      <c r="T718" s="413"/>
      <c r="U718" s="413"/>
      <c r="V718" s="413"/>
      <c r="W718" s="413"/>
      <c r="X718" s="413"/>
      <c r="Y718" s="413"/>
      <c r="Z718" s="413"/>
    </row>
    <row r="719">
      <c r="A719" s="452"/>
      <c r="B719" s="439"/>
      <c r="C719" s="454"/>
      <c r="D719" s="454"/>
      <c r="E719" s="439"/>
      <c r="F719" s="439"/>
      <c r="G719" s="454"/>
      <c r="H719" s="454"/>
      <c r="I719" s="456"/>
      <c r="J719" s="459"/>
      <c r="K719" s="458"/>
      <c r="L719" s="454"/>
      <c r="M719" s="453"/>
      <c r="N719" s="413"/>
      <c r="O719" s="413"/>
      <c r="P719" s="413"/>
      <c r="Q719" s="413"/>
      <c r="R719" s="413"/>
      <c r="S719" s="413"/>
      <c r="T719" s="413"/>
      <c r="U719" s="413"/>
      <c r="V719" s="413"/>
      <c r="W719" s="413"/>
      <c r="X719" s="413"/>
      <c r="Y719" s="413"/>
      <c r="Z719" s="413"/>
    </row>
    <row r="720">
      <c r="A720" s="452"/>
      <c r="B720" s="439"/>
      <c r="C720" s="454"/>
      <c r="D720" s="454"/>
      <c r="E720" s="439"/>
      <c r="F720" s="439"/>
      <c r="G720" s="454"/>
      <c r="H720" s="454"/>
      <c r="I720" s="456"/>
      <c r="J720" s="459"/>
      <c r="K720" s="458"/>
      <c r="L720" s="454"/>
      <c r="M720" s="453"/>
      <c r="N720" s="413"/>
      <c r="O720" s="413"/>
      <c r="P720" s="413"/>
      <c r="Q720" s="413"/>
      <c r="R720" s="413"/>
      <c r="S720" s="413"/>
      <c r="T720" s="413"/>
      <c r="U720" s="413"/>
      <c r="V720" s="413"/>
      <c r="W720" s="413"/>
      <c r="X720" s="413"/>
      <c r="Y720" s="413"/>
      <c r="Z720" s="413"/>
    </row>
    <row r="721">
      <c r="A721" s="452"/>
      <c r="B721" s="439"/>
      <c r="C721" s="454"/>
      <c r="D721" s="454"/>
      <c r="E721" s="439"/>
      <c r="F721" s="439"/>
      <c r="G721" s="454"/>
      <c r="H721" s="454"/>
      <c r="I721" s="456"/>
      <c r="J721" s="459"/>
      <c r="K721" s="458"/>
      <c r="L721" s="454"/>
      <c r="M721" s="453"/>
      <c r="N721" s="413"/>
      <c r="O721" s="413"/>
      <c r="P721" s="413"/>
      <c r="Q721" s="413"/>
      <c r="R721" s="413"/>
      <c r="S721" s="413"/>
      <c r="T721" s="413"/>
      <c r="U721" s="413"/>
      <c r="V721" s="413"/>
      <c r="W721" s="413"/>
      <c r="X721" s="413"/>
      <c r="Y721" s="413"/>
      <c r="Z721" s="413"/>
    </row>
    <row r="722">
      <c r="A722" s="452"/>
      <c r="B722" s="439"/>
      <c r="C722" s="454"/>
      <c r="D722" s="454"/>
      <c r="E722" s="439"/>
      <c r="F722" s="439"/>
      <c r="G722" s="454"/>
      <c r="H722" s="454"/>
      <c r="I722" s="456"/>
      <c r="J722" s="459"/>
      <c r="K722" s="458"/>
      <c r="L722" s="454"/>
      <c r="M722" s="453"/>
      <c r="N722" s="413"/>
      <c r="O722" s="413"/>
      <c r="P722" s="413"/>
      <c r="Q722" s="413"/>
      <c r="R722" s="413"/>
      <c r="S722" s="413"/>
      <c r="T722" s="413"/>
      <c r="U722" s="413"/>
      <c r="V722" s="413"/>
      <c r="W722" s="413"/>
      <c r="X722" s="413"/>
      <c r="Y722" s="413"/>
      <c r="Z722" s="413"/>
    </row>
    <row r="723">
      <c r="A723" s="452"/>
      <c r="B723" s="439"/>
      <c r="C723" s="454"/>
      <c r="D723" s="454"/>
      <c r="E723" s="439"/>
      <c r="F723" s="439"/>
      <c r="G723" s="454"/>
      <c r="H723" s="454"/>
      <c r="I723" s="456"/>
      <c r="J723" s="459"/>
      <c r="K723" s="458"/>
      <c r="L723" s="454"/>
      <c r="M723" s="453"/>
      <c r="N723" s="413"/>
      <c r="O723" s="413"/>
      <c r="P723" s="413"/>
      <c r="Q723" s="413"/>
      <c r="R723" s="413"/>
      <c r="S723" s="413"/>
      <c r="T723" s="413"/>
      <c r="U723" s="413"/>
      <c r="V723" s="413"/>
      <c r="W723" s="413"/>
      <c r="X723" s="413"/>
      <c r="Y723" s="413"/>
      <c r="Z723" s="413"/>
    </row>
    <row r="724">
      <c r="A724" s="452"/>
      <c r="B724" s="439"/>
      <c r="C724" s="454"/>
      <c r="D724" s="454"/>
      <c r="E724" s="439"/>
      <c r="F724" s="439"/>
      <c r="G724" s="454"/>
      <c r="H724" s="454"/>
      <c r="I724" s="456"/>
      <c r="J724" s="459"/>
      <c r="K724" s="458"/>
      <c r="L724" s="454"/>
      <c r="M724" s="453"/>
      <c r="N724" s="413"/>
      <c r="O724" s="413"/>
      <c r="P724" s="413"/>
      <c r="Q724" s="413"/>
      <c r="R724" s="413"/>
      <c r="S724" s="413"/>
      <c r="T724" s="413"/>
      <c r="U724" s="413"/>
      <c r="V724" s="413"/>
      <c r="W724" s="413"/>
      <c r="X724" s="413"/>
      <c r="Y724" s="413"/>
      <c r="Z724" s="413"/>
    </row>
    <row r="725">
      <c r="A725" s="452"/>
      <c r="B725" s="439"/>
      <c r="C725" s="454"/>
      <c r="D725" s="454"/>
      <c r="E725" s="439"/>
      <c r="F725" s="439"/>
      <c r="G725" s="454"/>
      <c r="H725" s="454"/>
      <c r="I725" s="456"/>
      <c r="J725" s="459"/>
      <c r="K725" s="458"/>
      <c r="L725" s="454"/>
      <c r="M725" s="453"/>
      <c r="N725" s="413"/>
      <c r="O725" s="413"/>
      <c r="P725" s="413"/>
      <c r="Q725" s="413"/>
      <c r="R725" s="413"/>
      <c r="S725" s="413"/>
      <c r="T725" s="413"/>
      <c r="U725" s="413"/>
      <c r="V725" s="413"/>
      <c r="W725" s="413"/>
      <c r="X725" s="413"/>
      <c r="Y725" s="413"/>
      <c r="Z725" s="413"/>
    </row>
    <row r="726">
      <c r="A726" s="452"/>
      <c r="B726" s="439"/>
      <c r="C726" s="454"/>
      <c r="D726" s="454"/>
      <c r="E726" s="439"/>
      <c r="F726" s="439"/>
      <c r="G726" s="454"/>
      <c r="H726" s="454"/>
      <c r="I726" s="456"/>
      <c r="J726" s="459"/>
      <c r="K726" s="458"/>
      <c r="L726" s="454"/>
      <c r="M726" s="453"/>
      <c r="N726" s="413"/>
      <c r="O726" s="413"/>
      <c r="P726" s="413"/>
      <c r="Q726" s="413"/>
      <c r="R726" s="413"/>
      <c r="S726" s="413"/>
      <c r="T726" s="413"/>
      <c r="U726" s="413"/>
      <c r="V726" s="413"/>
      <c r="W726" s="413"/>
      <c r="X726" s="413"/>
      <c r="Y726" s="413"/>
      <c r="Z726" s="413"/>
    </row>
    <row r="727">
      <c r="A727" s="452"/>
      <c r="B727" s="439"/>
      <c r="C727" s="454"/>
      <c r="D727" s="454"/>
      <c r="E727" s="439"/>
      <c r="F727" s="439"/>
      <c r="G727" s="454"/>
      <c r="H727" s="454"/>
      <c r="I727" s="456"/>
      <c r="J727" s="459"/>
      <c r="K727" s="458"/>
      <c r="L727" s="454"/>
      <c r="M727" s="453"/>
      <c r="N727" s="413"/>
      <c r="O727" s="413"/>
      <c r="P727" s="413"/>
      <c r="Q727" s="413"/>
      <c r="R727" s="413"/>
      <c r="S727" s="413"/>
      <c r="T727" s="413"/>
      <c r="U727" s="413"/>
      <c r="V727" s="413"/>
      <c r="W727" s="413"/>
      <c r="X727" s="413"/>
      <c r="Y727" s="413"/>
      <c r="Z727" s="413"/>
    </row>
    <row r="728">
      <c r="A728" s="452"/>
      <c r="B728" s="439"/>
      <c r="C728" s="454"/>
      <c r="D728" s="454"/>
      <c r="E728" s="439"/>
      <c r="F728" s="439"/>
      <c r="G728" s="454"/>
      <c r="H728" s="454"/>
      <c r="I728" s="456"/>
      <c r="J728" s="459"/>
      <c r="K728" s="458"/>
      <c r="L728" s="454"/>
      <c r="M728" s="453"/>
      <c r="N728" s="413"/>
      <c r="O728" s="413"/>
      <c r="P728" s="413"/>
      <c r="Q728" s="413"/>
      <c r="R728" s="413"/>
      <c r="S728" s="413"/>
      <c r="T728" s="413"/>
      <c r="U728" s="413"/>
      <c r="V728" s="413"/>
      <c r="W728" s="413"/>
      <c r="X728" s="413"/>
      <c r="Y728" s="413"/>
      <c r="Z728" s="413"/>
    </row>
    <row r="729">
      <c r="A729" s="452"/>
      <c r="B729" s="439"/>
      <c r="C729" s="454"/>
      <c r="D729" s="454"/>
      <c r="E729" s="439"/>
      <c r="F729" s="439"/>
      <c r="G729" s="454"/>
      <c r="H729" s="454"/>
      <c r="I729" s="456"/>
      <c r="J729" s="459"/>
      <c r="K729" s="458"/>
      <c r="L729" s="454"/>
      <c r="M729" s="453"/>
      <c r="N729" s="413"/>
      <c r="O729" s="413"/>
      <c r="P729" s="413"/>
      <c r="Q729" s="413"/>
      <c r="R729" s="413"/>
      <c r="S729" s="413"/>
      <c r="T729" s="413"/>
      <c r="U729" s="413"/>
      <c r="V729" s="413"/>
      <c r="W729" s="413"/>
      <c r="X729" s="413"/>
      <c r="Y729" s="413"/>
      <c r="Z729" s="413"/>
    </row>
    <row r="730">
      <c r="A730" s="452"/>
      <c r="B730" s="439"/>
      <c r="C730" s="454"/>
      <c r="D730" s="454"/>
      <c r="E730" s="439"/>
      <c r="F730" s="439"/>
      <c r="G730" s="454"/>
      <c r="H730" s="454"/>
      <c r="I730" s="456"/>
      <c r="J730" s="459"/>
      <c r="K730" s="458"/>
      <c r="L730" s="454"/>
      <c r="M730" s="453"/>
      <c r="N730" s="413"/>
      <c r="O730" s="413"/>
      <c r="P730" s="413"/>
      <c r="Q730" s="413"/>
      <c r="R730" s="413"/>
      <c r="S730" s="413"/>
      <c r="T730" s="413"/>
      <c r="U730" s="413"/>
      <c r="V730" s="413"/>
      <c r="W730" s="413"/>
      <c r="X730" s="413"/>
      <c r="Y730" s="413"/>
      <c r="Z730" s="413"/>
    </row>
    <row r="731">
      <c r="A731" s="452"/>
      <c r="B731" s="439"/>
      <c r="C731" s="454"/>
      <c r="D731" s="454"/>
      <c r="E731" s="439"/>
      <c r="F731" s="439"/>
      <c r="G731" s="454"/>
      <c r="H731" s="454"/>
      <c r="I731" s="456"/>
      <c r="J731" s="459"/>
      <c r="K731" s="458"/>
      <c r="L731" s="454"/>
      <c r="M731" s="453"/>
      <c r="N731" s="413"/>
      <c r="O731" s="413"/>
      <c r="P731" s="413"/>
      <c r="Q731" s="413"/>
      <c r="R731" s="413"/>
      <c r="S731" s="413"/>
      <c r="T731" s="413"/>
      <c r="U731" s="413"/>
      <c r="V731" s="413"/>
      <c r="W731" s="413"/>
      <c r="X731" s="413"/>
      <c r="Y731" s="413"/>
      <c r="Z731" s="413"/>
    </row>
    <row r="732">
      <c r="A732" s="452"/>
      <c r="B732" s="439"/>
      <c r="C732" s="454"/>
      <c r="D732" s="454"/>
      <c r="E732" s="439"/>
      <c r="F732" s="439"/>
      <c r="G732" s="454"/>
      <c r="H732" s="454"/>
      <c r="I732" s="456"/>
      <c r="J732" s="459"/>
      <c r="K732" s="458"/>
      <c r="L732" s="454"/>
      <c r="M732" s="453"/>
      <c r="N732" s="413"/>
      <c r="O732" s="413"/>
      <c r="P732" s="413"/>
      <c r="Q732" s="413"/>
      <c r="R732" s="413"/>
      <c r="S732" s="413"/>
      <c r="T732" s="413"/>
      <c r="U732" s="413"/>
      <c r="V732" s="413"/>
      <c r="W732" s="413"/>
      <c r="X732" s="413"/>
      <c r="Y732" s="413"/>
      <c r="Z732" s="413"/>
    </row>
    <row r="733">
      <c r="A733" s="452"/>
      <c r="B733" s="439"/>
      <c r="C733" s="454"/>
      <c r="D733" s="454"/>
      <c r="E733" s="439"/>
      <c r="F733" s="439"/>
      <c r="G733" s="454"/>
      <c r="H733" s="454"/>
      <c r="I733" s="456"/>
      <c r="J733" s="459"/>
      <c r="K733" s="458"/>
      <c r="L733" s="454"/>
      <c r="M733" s="453"/>
      <c r="N733" s="413"/>
      <c r="O733" s="413"/>
      <c r="P733" s="413"/>
      <c r="Q733" s="413"/>
      <c r="R733" s="413"/>
      <c r="S733" s="413"/>
      <c r="T733" s="413"/>
      <c r="U733" s="413"/>
      <c r="V733" s="413"/>
      <c r="W733" s="413"/>
      <c r="X733" s="413"/>
      <c r="Y733" s="413"/>
      <c r="Z733" s="413"/>
    </row>
    <row r="734">
      <c r="A734" s="452"/>
      <c r="B734" s="439"/>
      <c r="C734" s="454"/>
      <c r="D734" s="454"/>
      <c r="E734" s="439"/>
      <c r="F734" s="439"/>
      <c r="G734" s="454"/>
      <c r="H734" s="454"/>
      <c r="I734" s="456"/>
      <c r="J734" s="459"/>
      <c r="K734" s="458"/>
      <c r="L734" s="454"/>
      <c r="M734" s="453"/>
      <c r="N734" s="413"/>
      <c r="O734" s="413"/>
      <c r="P734" s="413"/>
      <c r="Q734" s="413"/>
      <c r="R734" s="413"/>
      <c r="S734" s="413"/>
      <c r="T734" s="413"/>
      <c r="U734" s="413"/>
      <c r="V734" s="413"/>
      <c r="W734" s="413"/>
      <c r="X734" s="413"/>
      <c r="Y734" s="413"/>
      <c r="Z734" s="413"/>
    </row>
    <row r="735">
      <c r="A735" s="452"/>
      <c r="B735" s="439"/>
      <c r="C735" s="454"/>
      <c r="D735" s="454"/>
      <c r="E735" s="439"/>
      <c r="F735" s="439"/>
      <c r="G735" s="454"/>
      <c r="H735" s="454"/>
      <c r="I735" s="456"/>
      <c r="J735" s="459"/>
      <c r="K735" s="458"/>
      <c r="L735" s="454"/>
      <c r="M735" s="453"/>
      <c r="N735" s="413"/>
      <c r="O735" s="413"/>
      <c r="P735" s="413"/>
      <c r="Q735" s="413"/>
      <c r="R735" s="413"/>
      <c r="S735" s="413"/>
      <c r="T735" s="413"/>
      <c r="U735" s="413"/>
      <c r="V735" s="413"/>
      <c r="W735" s="413"/>
      <c r="X735" s="413"/>
      <c r="Y735" s="413"/>
      <c r="Z735" s="413"/>
    </row>
    <row r="736">
      <c r="A736" s="452"/>
      <c r="B736" s="439"/>
      <c r="C736" s="454"/>
      <c r="D736" s="454"/>
      <c r="E736" s="439"/>
      <c r="F736" s="439"/>
      <c r="G736" s="454"/>
      <c r="H736" s="454"/>
      <c r="I736" s="456"/>
      <c r="J736" s="459"/>
      <c r="K736" s="458"/>
      <c r="L736" s="454"/>
      <c r="M736" s="453"/>
      <c r="N736" s="413"/>
      <c r="O736" s="413"/>
      <c r="P736" s="413"/>
      <c r="Q736" s="413"/>
      <c r="R736" s="413"/>
      <c r="S736" s="413"/>
      <c r="T736" s="413"/>
      <c r="U736" s="413"/>
      <c r="V736" s="413"/>
      <c r="W736" s="413"/>
      <c r="X736" s="413"/>
      <c r="Y736" s="413"/>
      <c r="Z736" s="413"/>
    </row>
    <row r="737">
      <c r="A737" s="452"/>
      <c r="B737" s="439"/>
      <c r="C737" s="454"/>
      <c r="D737" s="454"/>
      <c r="E737" s="439"/>
      <c r="F737" s="439"/>
      <c r="G737" s="454"/>
      <c r="H737" s="454"/>
      <c r="I737" s="456"/>
      <c r="J737" s="459"/>
      <c r="K737" s="458"/>
      <c r="L737" s="454"/>
      <c r="M737" s="453"/>
      <c r="N737" s="413"/>
      <c r="O737" s="413"/>
      <c r="P737" s="413"/>
      <c r="Q737" s="413"/>
      <c r="R737" s="413"/>
      <c r="S737" s="413"/>
      <c r="T737" s="413"/>
      <c r="U737" s="413"/>
      <c r="V737" s="413"/>
      <c r="W737" s="413"/>
      <c r="X737" s="413"/>
      <c r="Y737" s="413"/>
      <c r="Z737" s="413"/>
    </row>
    <row r="738">
      <c r="A738" s="452"/>
      <c r="B738" s="439"/>
      <c r="C738" s="454"/>
      <c r="D738" s="454"/>
      <c r="E738" s="439"/>
      <c r="F738" s="439"/>
      <c r="G738" s="454"/>
      <c r="H738" s="454"/>
      <c r="I738" s="456"/>
      <c r="J738" s="459"/>
      <c r="K738" s="458"/>
      <c r="L738" s="454"/>
      <c r="M738" s="453"/>
      <c r="N738" s="413"/>
      <c r="O738" s="413"/>
      <c r="P738" s="413"/>
      <c r="Q738" s="413"/>
      <c r="R738" s="413"/>
      <c r="S738" s="413"/>
      <c r="T738" s="413"/>
      <c r="U738" s="413"/>
      <c r="V738" s="413"/>
      <c r="W738" s="413"/>
      <c r="X738" s="413"/>
      <c r="Y738" s="413"/>
      <c r="Z738" s="413"/>
    </row>
    <row r="739">
      <c r="A739" s="452"/>
      <c r="B739" s="439"/>
      <c r="C739" s="454"/>
      <c r="D739" s="454"/>
      <c r="E739" s="439"/>
      <c r="F739" s="439"/>
      <c r="G739" s="454"/>
      <c r="H739" s="454"/>
      <c r="I739" s="456"/>
      <c r="J739" s="459"/>
      <c r="K739" s="458"/>
      <c r="L739" s="454"/>
      <c r="M739" s="453"/>
      <c r="N739" s="413"/>
      <c r="O739" s="413"/>
      <c r="P739" s="413"/>
      <c r="Q739" s="413"/>
      <c r="R739" s="413"/>
      <c r="S739" s="413"/>
      <c r="T739" s="413"/>
      <c r="U739" s="413"/>
      <c r="V739" s="413"/>
      <c r="W739" s="413"/>
      <c r="X739" s="413"/>
      <c r="Y739" s="413"/>
      <c r="Z739" s="413"/>
    </row>
    <row r="740">
      <c r="A740" s="452"/>
      <c r="B740" s="439"/>
      <c r="C740" s="454"/>
      <c r="D740" s="454"/>
      <c r="E740" s="439"/>
      <c r="F740" s="439"/>
      <c r="G740" s="454"/>
      <c r="H740" s="454"/>
      <c r="I740" s="456"/>
      <c r="J740" s="459"/>
      <c r="K740" s="458"/>
      <c r="L740" s="454"/>
      <c r="M740" s="453"/>
      <c r="N740" s="413"/>
      <c r="O740" s="413"/>
      <c r="P740" s="413"/>
      <c r="Q740" s="413"/>
      <c r="R740" s="413"/>
      <c r="S740" s="413"/>
      <c r="T740" s="413"/>
      <c r="U740" s="413"/>
      <c r="V740" s="413"/>
      <c r="W740" s="413"/>
      <c r="X740" s="413"/>
      <c r="Y740" s="413"/>
      <c r="Z740" s="413"/>
    </row>
    <row r="741">
      <c r="A741" s="452"/>
      <c r="B741" s="439"/>
      <c r="C741" s="454"/>
      <c r="D741" s="454"/>
      <c r="E741" s="439"/>
      <c r="F741" s="439"/>
      <c r="G741" s="454"/>
      <c r="H741" s="454"/>
      <c r="I741" s="456"/>
      <c r="J741" s="459"/>
      <c r="K741" s="458"/>
      <c r="L741" s="454"/>
      <c r="M741" s="453"/>
      <c r="N741" s="413"/>
      <c r="O741" s="413"/>
      <c r="P741" s="413"/>
      <c r="Q741" s="413"/>
      <c r="R741" s="413"/>
      <c r="S741" s="413"/>
      <c r="T741" s="413"/>
      <c r="U741" s="413"/>
      <c r="V741" s="413"/>
      <c r="W741" s="413"/>
      <c r="X741" s="413"/>
      <c r="Y741" s="413"/>
      <c r="Z741" s="413"/>
    </row>
    <row r="742">
      <c r="A742" s="452"/>
      <c r="B742" s="439"/>
      <c r="C742" s="454"/>
      <c r="D742" s="454"/>
      <c r="E742" s="439"/>
      <c r="F742" s="439"/>
      <c r="G742" s="454"/>
      <c r="H742" s="454"/>
      <c r="I742" s="456"/>
      <c r="J742" s="459"/>
      <c r="K742" s="458"/>
      <c r="L742" s="454"/>
      <c r="M742" s="453"/>
      <c r="N742" s="413"/>
      <c r="O742" s="413"/>
      <c r="P742" s="413"/>
      <c r="Q742" s="413"/>
      <c r="R742" s="413"/>
      <c r="S742" s="413"/>
      <c r="T742" s="413"/>
      <c r="U742" s="413"/>
      <c r="V742" s="413"/>
      <c r="W742" s="413"/>
      <c r="X742" s="413"/>
      <c r="Y742" s="413"/>
      <c r="Z742" s="413"/>
    </row>
    <row r="743">
      <c r="A743" s="452"/>
      <c r="B743" s="439"/>
      <c r="C743" s="454"/>
      <c r="D743" s="454"/>
      <c r="E743" s="439"/>
      <c r="F743" s="439"/>
      <c r="G743" s="454"/>
      <c r="H743" s="454"/>
      <c r="I743" s="456"/>
      <c r="J743" s="459"/>
      <c r="K743" s="458"/>
      <c r="L743" s="454"/>
      <c r="M743" s="453"/>
      <c r="N743" s="413"/>
      <c r="O743" s="413"/>
      <c r="P743" s="413"/>
      <c r="Q743" s="413"/>
      <c r="R743" s="413"/>
      <c r="S743" s="413"/>
      <c r="T743" s="413"/>
      <c r="U743" s="413"/>
      <c r="V743" s="413"/>
      <c r="W743" s="413"/>
      <c r="X743" s="413"/>
      <c r="Y743" s="413"/>
      <c r="Z743" s="413"/>
    </row>
    <row r="744">
      <c r="A744" s="452"/>
      <c r="B744" s="439"/>
      <c r="C744" s="454"/>
      <c r="D744" s="454"/>
      <c r="E744" s="439"/>
      <c r="F744" s="439"/>
      <c r="G744" s="454"/>
      <c r="H744" s="454"/>
      <c r="I744" s="456"/>
      <c r="J744" s="459"/>
      <c r="K744" s="458"/>
      <c r="L744" s="454"/>
      <c r="M744" s="453"/>
      <c r="N744" s="413"/>
      <c r="O744" s="413"/>
      <c r="P744" s="413"/>
      <c r="Q744" s="413"/>
      <c r="R744" s="413"/>
      <c r="S744" s="413"/>
      <c r="T744" s="413"/>
      <c r="U744" s="413"/>
      <c r="V744" s="413"/>
      <c r="W744" s="413"/>
      <c r="X744" s="413"/>
      <c r="Y744" s="413"/>
      <c r="Z744" s="413"/>
    </row>
    <row r="745">
      <c r="A745" s="452"/>
      <c r="B745" s="439"/>
      <c r="C745" s="454"/>
      <c r="D745" s="454"/>
      <c r="E745" s="439"/>
      <c r="F745" s="439"/>
      <c r="G745" s="454"/>
      <c r="H745" s="454"/>
      <c r="I745" s="456"/>
      <c r="J745" s="459"/>
      <c r="K745" s="458"/>
      <c r="L745" s="454"/>
      <c r="M745" s="453"/>
      <c r="N745" s="413"/>
      <c r="O745" s="413"/>
      <c r="P745" s="413"/>
      <c r="Q745" s="413"/>
      <c r="R745" s="413"/>
      <c r="S745" s="413"/>
      <c r="T745" s="413"/>
      <c r="U745" s="413"/>
      <c r="V745" s="413"/>
      <c r="W745" s="413"/>
      <c r="X745" s="413"/>
      <c r="Y745" s="413"/>
      <c r="Z745" s="413"/>
    </row>
    <row r="746">
      <c r="A746" s="452"/>
      <c r="B746" s="439"/>
      <c r="C746" s="454"/>
      <c r="D746" s="454"/>
      <c r="E746" s="439"/>
      <c r="F746" s="439"/>
      <c r="G746" s="454"/>
      <c r="H746" s="454"/>
      <c r="I746" s="456"/>
      <c r="J746" s="459"/>
      <c r="K746" s="458"/>
      <c r="L746" s="454"/>
      <c r="M746" s="453"/>
      <c r="N746" s="413"/>
      <c r="O746" s="413"/>
      <c r="P746" s="413"/>
      <c r="Q746" s="413"/>
      <c r="R746" s="413"/>
      <c r="S746" s="413"/>
      <c r="T746" s="413"/>
      <c r="U746" s="413"/>
      <c r="V746" s="413"/>
      <c r="W746" s="413"/>
      <c r="X746" s="413"/>
      <c r="Y746" s="413"/>
      <c r="Z746" s="413"/>
    </row>
    <row r="747">
      <c r="A747" s="452"/>
      <c r="B747" s="439"/>
      <c r="C747" s="454"/>
      <c r="D747" s="454"/>
      <c r="E747" s="439"/>
      <c r="F747" s="439"/>
      <c r="G747" s="454"/>
      <c r="H747" s="454"/>
      <c r="I747" s="456"/>
      <c r="J747" s="459"/>
      <c r="K747" s="458"/>
      <c r="L747" s="454"/>
      <c r="M747" s="453"/>
      <c r="N747" s="413"/>
      <c r="O747" s="413"/>
      <c r="P747" s="413"/>
      <c r="Q747" s="413"/>
      <c r="R747" s="413"/>
      <c r="S747" s="413"/>
      <c r="T747" s="413"/>
      <c r="U747" s="413"/>
      <c r="V747" s="413"/>
      <c r="W747" s="413"/>
      <c r="X747" s="413"/>
      <c r="Y747" s="413"/>
      <c r="Z747" s="413"/>
    </row>
    <row r="748">
      <c r="A748" s="452"/>
      <c r="B748" s="439"/>
      <c r="C748" s="454"/>
      <c r="D748" s="454"/>
      <c r="E748" s="439"/>
      <c r="F748" s="439"/>
      <c r="G748" s="454"/>
      <c r="H748" s="454"/>
      <c r="I748" s="456"/>
      <c r="J748" s="459"/>
      <c r="K748" s="458"/>
      <c r="L748" s="454"/>
      <c r="M748" s="453"/>
      <c r="N748" s="413"/>
      <c r="O748" s="413"/>
      <c r="P748" s="413"/>
      <c r="Q748" s="413"/>
      <c r="R748" s="413"/>
      <c r="S748" s="413"/>
      <c r="T748" s="413"/>
      <c r="U748" s="413"/>
      <c r="V748" s="413"/>
      <c r="W748" s="413"/>
      <c r="X748" s="413"/>
      <c r="Y748" s="413"/>
      <c r="Z748" s="413"/>
    </row>
    <row r="749">
      <c r="A749" s="452"/>
      <c r="B749" s="439"/>
      <c r="C749" s="454"/>
      <c r="D749" s="454"/>
      <c r="E749" s="439"/>
      <c r="F749" s="439"/>
      <c r="G749" s="454"/>
      <c r="H749" s="454"/>
      <c r="I749" s="456"/>
      <c r="J749" s="459"/>
      <c r="K749" s="458"/>
      <c r="L749" s="454"/>
      <c r="M749" s="453"/>
      <c r="N749" s="413"/>
      <c r="O749" s="413"/>
      <c r="P749" s="413"/>
      <c r="Q749" s="413"/>
      <c r="R749" s="413"/>
      <c r="S749" s="413"/>
      <c r="T749" s="413"/>
      <c r="U749" s="413"/>
      <c r="V749" s="413"/>
      <c r="W749" s="413"/>
      <c r="X749" s="413"/>
      <c r="Y749" s="413"/>
      <c r="Z749" s="413"/>
    </row>
    <row r="750">
      <c r="A750" s="452"/>
      <c r="B750" s="439"/>
      <c r="C750" s="454"/>
      <c r="D750" s="454"/>
      <c r="E750" s="439"/>
      <c r="F750" s="439"/>
      <c r="G750" s="454"/>
      <c r="H750" s="454"/>
      <c r="I750" s="456"/>
      <c r="J750" s="459"/>
      <c r="K750" s="458"/>
      <c r="L750" s="454"/>
      <c r="M750" s="453"/>
      <c r="N750" s="413"/>
      <c r="O750" s="413"/>
      <c r="P750" s="413"/>
      <c r="Q750" s="413"/>
      <c r="R750" s="413"/>
      <c r="S750" s="413"/>
      <c r="T750" s="413"/>
      <c r="U750" s="413"/>
      <c r="V750" s="413"/>
      <c r="W750" s="413"/>
      <c r="X750" s="413"/>
      <c r="Y750" s="413"/>
      <c r="Z750" s="413"/>
    </row>
    <row r="751">
      <c r="A751" s="452"/>
      <c r="B751" s="439"/>
      <c r="C751" s="454"/>
      <c r="D751" s="454"/>
      <c r="E751" s="439"/>
      <c r="F751" s="439"/>
      <c r="G751" s="454"/>
      <c r="H751" s="454"/>
      <c r="I751" s="456"/>
      <c r="J751" s="459"/>
      <c r="K751" s="458"/>
      <c r="L751" s="454"/>
      <c r="M751" s="453"/>
      <c r="N751" s="413"/>
      <c r="O751" s="413"/>
      <c r="P751" s="413"/>
      <c r="Q751" s="413"/>
      <c r="R751" s="413"/>
      <c r="S751" s="413"/>
      <c r="T751" s="413"/>
      <c r="U751" s="413"/>
      <c r="V751" s="413"/>
      <c r="W751" s="413"/>
      <c r="X751" s="413"/>
      <c r="Y751" s="413"/>
      <c r="Z751" s="413"/>
    </row>
    <row r="752">
      <c r="A752" s="452"/>
      <c r="B752" s="439"/>
      <c r="C752" s="454"/>
      <c r="D752" s="454"/>
      <c r="E752" s="439"/>
      <c r="F752" s="439"/>
      <c r="G752" s="454"/>
      <c r="H752" s="454"/>
      <c r="I752" s="456"/>
      <c r="J752" s="459"/>
      <c r="K752" s="458"/>
      <c r="L752" s="454"/>
      <c r="M752" s="453"/>
      <c r="N752" s="413"/>
      <c r="O752" s="413"/>
      <c r="P752" s="413"/>
      <c r="Q752" s="413"/>
      <c r="R752" s="413"/>
      <c r="S752" s="413"/>
      <c r="T752" s="413"/>
      <c r="U752" s="413"/>
      <c r="V752" s="413"/>
      <c r="W752" s="413"/>
      <c r="X752" s="413"/>
      <c r="Y752" s="413"/>
      <c r="Z752" s="413"/>
    </row>
    <row r="753">
      <c r="A753" s="452"/>
      <c r="B753" s="439"/>
      <c r="C753" s="454"/>
      <c r="D753" s="454"/>
      <c r="E753" s="439"/>
      <c r="F753" s="439"/>
      <c r="G753" s="454"/>
      <c r="H753" s="454"/>
      <c r="I753" s="456"/>
      <c r="J753" s="459"/>
      <c r="K753" s="458"/>
      <c r="L753" s="454"/>
      <c r="M753" s="453"/>
      <c r="N753" s="413"/>
      <c r="O753" s="413"/>
      <c r="P753" s="413"/>
      <c r="Q753" s="413"/>
      <c r="R753" s="413"/>
      <c r="S753" s="413"/>
      <c r="T753" s="413"/>
      <c r="U753" s="413"/>
      <c r="V753" s="413"/>
      <c r="W753" s="413"/>
      <c r="X753" s="413"/>
      <c r="Y753" s="413"/>
      <c r="Z753" s="413"/>
    </row>
    <row r="754">
      <c r="A754" s="452"/>
      <c r="B754" s="439"/>
      <c r="C754" s="454"/>
      <c r="D754" s="454"/>
      <c r="E754" s="439"/>
      <c r="F754" s="439"/>
      <c r="G754" s="454"/>
      <c r="H754" s="454"/>
      <c r="I754" s="456"/>
      <c r="J754" s="459"/>
      <c r="K754" s="458"/>
      <c r="L754" s="454"/>
      <c r="M754" s="453"/>
      <c r="N754" s="413"/>
      <c r="O754" s="413"/>
      <c r="P754" s="413"/>
      <c r="Q754" s="413"/>
      <c r="R754" s="413"/>
      <c r="S754" s="413"/>
      <c r="T754" s="413"/>
      <c r="U754" s="413"/>
      <c r="V754" s="413"/>
      <c r="W754" s="413"/>
      <c r="X754" s="413"/>
      <c r="Y754" s="413"/>
      <c r="Z754" s="413"/>
    </row>
    <row r="755">
      <c r="A755" s="452"/>
      <c r="B755" s="439"/>
      <c r="C755" s="454"/>
      <c r="D755" s="454"/>
      <c r="E755" s="439"/>
      <c r="F755" s="439"/>
      <c r="G755" s="454"/>
      <c r="H755" s="454"/>
      <c r="I755" s="456"/>
      <c r="J755" s="459"/>
      <c r="K755" s="458"/>
      <c r="L755" s="454"/>
      <c r="M755" s="453"/>
      <c r="N755" s="413"/>
      <c r="O755" s="413"/>
      <c r="P755" s="413"/>
      <c r="Q755" s="413"/>
      <c r="R755" s="413"/>
      <c r="S755" s="413"/>
      <c r="T755" s="413"/>
      <c r="U755" s="413"/>
      <c r="V755" s="413"/>
      <c r="W755" s="413"/>
      <c r="X755" s="413"/>
      <c r="Y755" s="413"/>
      <c r="Z755" s="413"/>
    </row>
    <row r="756">
      <c r="A756" s="452"/>
      <c r="B756" s="439"/>
      <c r="C756" s="454"/>
      <c r="D756" s="454"/>
      <c r="E756" s="439"/>
      <c r="F756" s="439"/>
      <c r="G756" s="454"/>
      <c r="H756" s="454"/>
      <c r="I756" s="456"/>
      <c r="J756" s="459"/>
      <c r="K756" s="458"/>
      <c r="L756" s="454"/>
      <c r="M756" s="453"/>
      <c r="N756" s="413"/>
      <c r="O756" s="413"/>
      <c r="P756" s="413"/>
      <c r="Q756" s="413"/>
      <c r="R756" s="413"/>
      <c r="S756" s="413"/>
      <c r="T756" s="413"/>
      <c r="U756" s="413"/>
      <c r="V756" s="413"/>
      <c r="W756" s="413"/>
      <c r="X756" s="413"/>
      <c r="Y756" s="413"/>
      <c r="Z756" s="413"/>
    </row>
    <row r="757">
      <c r="A757" s="452"/>
      <c r="B757" s="439"/>
      <c r="C757" s="454"/>
      <c r="D757" s="454"/>
      <c r="E757" s="439"/>
      <c r="F757" s="439"/>
      <c r="G757" s="454"/>
      <c r="H757" s="454"/>
      <c r="I757" s="456"/>
      <c r="J757" s="459"/>
      <c r="K757" s="458"/>
      <c r="L757" s="454"/>
      <c r="M757" s="453"/>
      <c r="N757" s="413"/>
      <c r="O757" s="413"/>
      <c r="P757" s="413"/>
      <c r="Q757" s="413"/>
      <c r="R757" s="413"/>
      <c r="S757" s="413"/>
      <c r="T757" s="413"/>
      <c r="U757" s="413"/>
      <c r="V757" s="413"/>
      <c r="W757" s="413"/>
      <c r="X757" s="413"/>
      <c r="Y757" s="413"/>
      <c r="Z757" s="413"/>
    </row>
    <row r="758">
      <c r="A758" s="452"/>
      <c r="B758" s="439"/>
      <c r="C758" s="454"/>
      <c r="D758" s="454"/>
      <c r="E758" s="439"/>
      <c r="F758" s="439"/>
      <c r="G758" s="454"/>
      <c r="H758" s="454"/>
      <c r="I758" s="456"/>
      <c r="J758" s="459"/>
      <c r="K758" s="458"/>
      <c r="L758" s="454"/>
      <c r="M758" s="453"/>
      <c r="N758" s="413"/>
      <c r="O758" s="413"/>
      <c r="P758" s="413"/>
      <c r="Q758" s="413"/>
      <c r="R758" s="413"/>
      <c r="S758" s="413"/>
      <c r="T758" s="413"/>
      <c r="U758" s="413"/>
      <c r="V758" s="413"/>
      <c r="W758" s="413"/>
      <c r="X758" s="413"/>
      <c r="Y758" s="413"/>
      <c r="Z758" s="413"/>
    </row>
    <row r="759">
      <c r="A759" s="452"/>
      <c r="B759" s="439"/>
      <c r="C759" s="454"/>
      <c r="D759" s="454"/>
      <c r="E759" s="439"/>
      <c r="F759" s="439"/>
      <c r="G759" s="454"/>
      <c r="H759" s="454"/>
      <c r="I759" s="456"/>
      <c r="J759" s="459"/>
      <c r="K759" s="458"/>
      <c r="L759" s="454"/>
      <c r="M759" s="453"/>
      <c r="N759" s="413"/>
      <c r="O759" s="413"/>
      <c r="P759" s="413"/>
      <c r="Q759" s="413"/>
      <c r="R759" s="413"/>
      <c r="S759" s="413"/>
      <c r="T759" s="413"/>
      <c r="U759" s="413"/>
      <c r="V759" s="413"/>
      <c r="W759" s="413"/>
      <c r="X759" s="413"/>
      <c r="Y759" s="413"/>
      <c r="Z759" s="413"/>
    </row>
    <row r="760">
      <c r="A760" s="452"/>
      <c r="B760" s="439"/>
      <c r="C760" s="454"/>
      <c r="D760" s="454"/>
      <c r="E760" s="439"/>
      <c r="F760" s="439"/>
      <c r="G760" s="454"/>
      <c r="H760" s="454"/>
      <c r="I760" s="456"/>
      <c r="J760" s="459"/>
      <c r="K760" s="458"/>
      <c r="L760" s="454"/>
      <c r="M760" s="453"/>
      <c r="N760" s="413"/>
      <c r="O760" s="413"/>
      <c r="P760" s="413"/>
      <c r="Q760" s="413"/>
      <c r="R760" s="413"/>
      <c r="S760" s="413"/>
      <c r="T760" s="413"/>
      <c r="U760" s="413"/>
      <c r="V760" s="413"/>
      <c r="W760" s="413"/>
      <c r="X760" s="413"/>
      <c r="Y760" s="413"/>
      <c r="Z760" s="413"/>
    </row>
    <row r="761">
      <c r="A761" s="452"/>
      <c r="B761" s="439"/>
      <c r="C761" s="454"/>
      <c r="D761" s="454"/>
      <c r="E761" s="439"/>
      <c r="F761" s="439"/>
      <c r="G761" s="454"/>
      <c r="H761" s="454"/>
      <c r="I761" s="456"/>
      <c r="J761" s="459"/>
      <c r="K761" s="458"/>
      <c r="L761" s="454"/>
      <c r="M761" s="453"/>
      <c r="N761" s="413"/>
      <c r="O761" s="413"/>
      <c r="P761" s="413"/>
      <c r="Q761" s="413"/>
      <c r="R761" s="413"/>
      <c r="S761" s="413"/>
      <c r="T761" s="413"/>
      <c r="U761" s="413"/>
      <c r="V761" s="413"/>
      <c r="W761" s="413"/>
      <c r="X761" s="413"/>
      <c r="Y761" s="413"/>
      <c r="Z761" s="413"/>
    </row>
    <row r="762">
      <c r="A762" s="452"/>
      <c r="B762" s="439"/>
      <c r="C762" s="454"/>
      <c r="D762" s="454"/>
      <c r="E762" s="439"/>
      <c r="F762" s="439"/>
      <c r="G762" s="454"/>
      <c r="H762" s="454"/>
      <c r="I762" s="456"/>
      <c r="J762" s="459"/>
      <c r="K762" s="458"/>
      <c r="L762" s="454"/>
      <c r="M762" s="453"/>
      <c r="N762" s="413"/>
      <c r="O762" s="413"/>
      <c r="P762" s="413"/>
      <c r="Q762" s="413"/>
      <c r="R762" s="413"/>
      <c r="S762" s="413"/>
      <c r="T762" s="413"/>
      <c r="U762" s="413"/>
      <c r="V762" s="413"/>
      <c r="W762" s="413"/>
      <c r="X762" s="413"/>
      <c r="Y762" s="413"/>
      <c r="Z762" s="413"/>
    </row>
    <row r="763">
      <c r="A763" s="452"/>
      <c r="B763" s="439"/>
      <c r="C763" s="454"/>
      <c r="D763" s="454"/>
      <c r="E763" s="439"/>
      <c r="F763" s="439"/>
      <c r="G763" s="454"/>
      <c r="H763" s="454"/>
      <c r="I763" s="456"/>
      <c r="J763" s="459"/>
      <c r="K763" s="458"/>
      <c r="L763" s="454"/>
      <c r="M763" s="453"/>
      <c r="N763" s="413"/>
      <c r="O763" s="413"/>
      <c r="P763" s="413"/>
      <c r="Q763" s="413"/>
      <c r="R763" s="413"/>
      <c r="S763" s="413"/>
      <c r="T763" s="413"/>
      <c r="U763" s="413"/>
      <c r="V763" s="413"/>
      <c r="W763" s="413"/>
      <c r="X763" s="413"/>
      <c r="Y763" s="413"/>
      <c r="Z763" s="413"/>
    </row>
    <row r="764">
      <c r="A764" s="452"/>
      <c r="B764" s="439"/>
      <c r="C764" s="454"/>
      <c r="D764" s="454"/>
      <c r="E764" s="439"/>
      <c r="F764" s="439"/>
      <c r="G764" s="454"/>
      <c r="H764" s="454"/>
      <c r="I764" s="456"/>
      <c r="J764" s="459"/>
      <c r="K764" s="458"/>
      <c r="L764" s="454"/>
      <c r="M764" s="453"/>
      <c r="N764" s="413"/>
      <c r="O764" s="413"/>
      <c r="P764" s="413"/>
      <c r="Q764" s="413"/>
      <c r="R764" s="413"/>
      <c r="S764" s="413"/>
      <c r="T764" s="413"/>
      <c r="U764" s="413"/>
      <c r="V764" s="413"/>
      <c r="W764" s="413"/>
      <c r="X764" s="413"/>
      <c r="Y764" s="413"/>
      <c r="Z764" s="413"/>
    </row>
    <row r="765">
      <c r="A765" s="452"/>
      <c r="B765" s="439"/>
      <c r="C765" s="454"/>
      <c r="D765" s="454"/>
      <c r="E765" s="439"/>
      <c r="F765" s="439"/>
      <c r="G765" s="454"/>
      <c r="H765" s="454"/>
      <c r="I765" s="456"/>
      <c r="J765" s="459"/>
      <c r="K765" s="458"/>
      <c r="L765" s="454"/>
      <c r="M765" s="453"/>
      <c r="N765" s="413"/>
      <c r="O765" s="413"/>
      <c r="P765" s="413"/>
      <c r="Q765" s="413"/>
      <c r="R765" s="413"/>
      <c r="S765" s="413"/>
      <c r="T765" s="413"/>
      <c r="U765" s="413"/>
      <c r="V765" s="413"/>
      <c r="W765" s="413"/>
      <c r="X765" s="413"/>
      <c r="Y765" s="413"/>
      <c r="Z765" s="413"/>
    </row>
    <row r="766">
      <c r="A766" s="452"/>
      <c r="B766" s="439"/>
      <c r="C766" s="454"/>
      <c r="D766" s="454"/>
      <c r="E766" s="439"/>
      <c r="F766" s="439"/>
      <c r="G766" s="454"/>
      <c r="H766" s="454"/>
      <c r="I766" s="456"/>
      <c r="J766" s="459"/>
      <c r="K766" s="458"/>
      <c r="L766" s="454"/>
      <c r="M766" s="453"/>
      <c r="N766" s="413"/>
      <c r="O766" s="413"/>
      <c r="P766" s="413"/>
      <c r="Q766" s="413"/>
      <c r="R766" s="413"/>
      <c r="S766" s="413"/>
      <c r="T766" s="413"/>
      <c r="U766" s="413"/>
      <c r="V766" s="413"/>
      <c r="W766" s="413"/>
      <c r="X766" s="413"/>
      <c r="Y766" s="413"/>
      <c r="Z766" s="413"/>
    </row>
    <row r="767">
      <c r="A767" s="452"/>
      <c r="B767" s="439"/>
      <c r="C767" s="454"/>
      <c r="D767" s="454"/>
      <c r="E767" s="439"/>
      <c r="F767" s="439"/>
      <c r="G767" s="454"/>
      <c r="H767" s="454"/>
      <c r="I767" s="456"/>
      <c r="J767" s="459"/>
      <c r="K767" s="458"/>
      <c r="L767" s="454"/>
      <c r="M767" s="453"/>
      <c r="N767" s="413"/>
      <c r="O767" s="413"/>
      <c r="P767" s="413"/>
      <c r="Q767" s="413"/>
      <c r="R767" s="413"/>
      <c r="S767" s="413"/>
      <c r="T767" s="413"/>
      <c r="U767" s="413"/>
      <c r="V767" s="413"/>
      <c r="W767" s="413"/>
      <c r="X767" s="413"/>
      <c r="Y767" s="413"/>
      <c r="Z767" s="413"/>
    </row>
    <row r="768">
      <c r="A768" s="452"/>
      <c r="B768" s="439"/>
      <c r="C768" s="454"/>
      <c r="D768" s="454"/>
      <c r="E768" s="439"/>
      <c r="F768" s="439"/>
      <c r="G768" s="454"/>
      <c r="H768" s="454"/>
      <c r="I768" s="456"/>
      <c r="J768" s="459"/>
      <c r="K768" s="458"/>
      <c r="L768" s="454"/>
      <c r="M768" s="453"/>
      <c r="N768" s="413"/>
      <c r="O768" s="413"/>
      <c r="P768" s="413"/>
      <c r="Q768" s="413"/>
      <c r="R768" s="413"/>
      <c r="S768" s="413"/>
      <c r="T768" s="413"/>
      <c r="U768" s="413"/>
      <c r="V768" s="413"/>
      <c r="W768" s="413"/>
      <c r="X768" s="413"/>
      <c r="Y768" s="413"/>
      <c r="Z768" s="413"/>
    </row>
    <row r="769">
      <c r="A769" s="452"/>
      <c r="B769" s="439"/>
      <c r="C769" s="454"/>
      <c r="D769" s="454"/>
      <c r="E769" s="439"/>
      <c r="F769" s="439"/>
      <c r="G769" s="454"/>
      <c r="H769" s="454"/>
      <c r="I769" s="456"/>
      <c r="J769" s="459"/>
      <c r="K769" s="458"/>
      <c r="L769" s="454"/>
      <c r="M769" s="453"/>
      <c r="N769" s="413"/>
      <c r="O769" s="413"/>
      <c r="P769" s="413"/>
      <c r="Q769" s="413"/>
      <c r="R769" s="413"/>
      <c r="S769" s="413"/>
      <c r="T769" s="413"/>
      <c r="U769" s="413"/>
      <c r="V769" s="413"/>
      <c r="W769" s="413"/>
      <c r="X769" s="413"/>
      <c r="Y769" s="413"/>
      <c r="Z769" s="413"/>
    </row>
    <row r="770">
      <c r="A770" s="452"/>
      <c r="B770" s="439"/>
      <c r="C770" s="454"/>
      <c r="D770" s="454"/>
      <c r="E770" s="439"/>
      <c r="F770" s="439"/>
      <c r="G770" s="454"/>
      <c r="H770" s="454"/>
      <c r="I770" s="456"/>
      <c r="J770" s="459"/>
      <c r="K770" s="458"/>
      <c r="L770" s="454"/>
      <c r="M770" s="453"/>
      <c r="N770" s="413"/>
      <c r="O770" s="413"/>
      <c r="P770" s="413"/>
      <c r="Q770" s="413"/>
      <c r="R770" s="413"/>
      <c r="S770" s="413"/>
      <c r="T770" s="413"/>
      <c r="U770" s="413"/>
      <c r="V770" s="413"/>
      <c r="W770" s="413"/>
      <c r="X770" s="413"/>
      <c r="Y770" s="413"/>
      <c r="Z770" s="413"/>
    </row>
    <row r="771">
      <c r="A771" s="452"/>
      <c r="B771" s="439"/>
      <c r="C771" s="454"/>
      <c r="D771" s="454"/>
      <c r="E771" s="439"/>
      <c r="F771" s="439"/>
      <c r="G771" s="454"/>
      <c r="H771" s="454"/>
      <c r="I771" s="456"/>
      <c r="J771" s="459"/>
      <c r="K771" s="458"/>
      <c r="L771" s="454"/>
      <c r="M771" s="453"/>
      <c r="N771" s="413"/>
      <c r="O771" s="413"/>
      <c r="P771" s="413"/>
      <c r="Q771" s="413"/>
      <c r="R771" s="413"/>
      <c r="S771" s="413"/>
      <c r="T771" s="413"/>
      <c r="U771" s="413"/>
      <c r="V771" s="413"/>
      <c r="W771" s="413"/>
      <c r="X771" s="413"/>
      <c r="Y771" s="413"/>
      <c r="Z771" s="413"/>
    </row>
    <row r="772">
      <c r="A772" s="452"/>
      <c r="B772" s="439"/>
      <c r="C772" s="454"/>
      <c r="D772" s="454"/>
      <c r="E772" s="439"/>
      <c r="F772" s="439"/>
      <c r="G772" s="454"/>
      <c r="H772" s="454"/>
      <c r="I772" s="456"/>
      <c r="J772" s="459"/>
      <c r="K772" s="458"/>
      <c r="L772" s="454"/>
      <c r="M772" s="453"/>
      <c r="N772" s="413"/>
      <c r="O772" s="413"/>
      <c r="P772" s="413"/>
      <c r="Q772" s="413"/>
      <c r="R772" s="413"/>
      <c r="S772" s="413"/>
      <c r="T772" s="413"/>
      <c r="U772" s="413"/>
      <c r="V772" s="413"/>
      <c r="W772" s="413"/>
      <c r="X772" s="413"/>
      <c r="Y772" s="413"/>
      <c r="Z772" s="413"/>
    </row>
    <row r="773">
      <c r="A773" s="452"/>
      <c r="B773" s="439"/>
      <c r="C773" s="454"/>
      <c r="D773" s="454"/>
      <c r="E773" s="439"/>
      <c r="F773" s="439"/>
      <c r="G773" s="454"/>
      <c r="H773" s="454"/>
      <c r="I773" s="456"/>
      <c r="J773" s="459"/>
      <c r="K773" s="458"/>
      <c r="L773" s="454"/>
      <c r="M773" s="453"/>
      <c r="N773" s="413"/>
      <c r="O773" s="413"/>
      <c r="P773" s="413"/>
      <c r="Q773" s="413"/>
      <c r="R773" s="413"/>
      <c r="S773" s="413"/>
      <c r="T773" s="413"/>
      <c r="U773" s="413"/>
      <c r="V773" s="413"/>
      <c r="W773" s="413"/>
      <c r="X773" s="413"/>
      <c r="Y773" s="413"/>
      <c r="Z773" s="413"/>
    </row>
    <row r="774">
      <c r="A774" s="452"/>
      <c r="B774" s="439"/>
      <c r="C774" s="454"/>
      <c r="D774" s="454"/>
      <c r="E774" s="439"/>
      <c r="F774" s="439"/>
      <c r="G774" s="454"/>
      <c r="H774" s="454"/>
      <c r="I774" s="456"/>
      <c r="J774" s="459"/>
      <c r="K774" s="458"/>
      <c r="L774" s="454"/>
      <c r="M774" s="453"/>
      <c r="N774" s="413"/>
      <c r="O774" s="413"/>
      <c r="P774" s="413"/>
      <c r="Q774" s="413"/>
      <c r="R774" s="413"/>
      <c r="S774" s="413"/>
      <c r="T774" s="413"/>
      <c r="U774" s="413"/>
      <c r="V774" s="413"/>
      <c r="W774" s="413"/>
      <c r="X774" s="413"/>
      <c r="Y774" s="413"/>
      <c r="Z774" s="413"/>
    </row>
    <row r="775">
      <c r="A775" s="452"/>
      <c r="B775" s="439"/>
      <c r="C775" s="454"/>
      <c r="D775" s="454"/>
      <c r="E775" s="439"/>
      <c r="F775" s="439"/>
      <c r="G775" s="454"/>
      <c r="H775" s="454"/>
      <c r="I775" s="456"/>
      <c r="J775" s="459"/>
      <c r="K775" s="458"/>
      <c r="L775" s="454"/>
      <c r="M775" s="453"/>
      <c r="N775" s="413"/>
      <c r="O775" s="413"/>
      <c r="P775" s="413"/>
      <c r="Q775" s="413"/>
      <c r="R775" s="413"/>
      <c r="S775" s="413"/>
      <c r="T775" s="413"/>
      <c r="U775" s="413"/>
      <c r="V775" s="413"/>
      <c r="W775" s="413"/>
      <c r="X775" s="413"/>
      <c r="Y775" s="413"/>
      <c r="Z775" s="413"/>
    </row>
    <row r="776">
      <c r="A776" s="452"/>
      <c r="B776" s="439"/>
      <c r="C776" s="454"/>
      <c r="D776" s="454"/>
      <c r="E776" s="439"/>
      <c r="F776" s="439"/>
      <c r="G776" s="454"/>
      <c r="H776" s="454"/>
      <c r="I776" s="456"/>
      <c r="J776" s="459"/>
      <c r="K776" s="458"/>
      <c r="L776" s="454"/>
      <c r="M776" s="453"/>
      <c r="N776" s="413"/>
      <c r="O776" s="413"/>
      <c r="P776" s="413"/>
      <c r="Q776" s="413"/>
      <c r="R776" s="413"/>
      <c r="S776" s="413"/>
      <c r="T776" s="413"/>
      <c r="U776" s="413"/>
      <c r="V776" s="413"/>
      <c r="W776" s="413"/>
      <c r="X776" s="413"/>
      <c r="Y776" s="413"/>
      <c r="Z776" s="413"/>
    </row>
    <row r="777">
      <c r="A777" s="452"/>
      <c r="B777" s="439"/>
      <c r="C777" s="454"/>
      <c r="D777" s="454"/>
      <c r="E777" s="439"/>
      <c r="F777" s="439"/>
      <c r="G777" s="454"/>
      <c r="H777" s="454"/>
      <c r="I777" s="456"/>
      <c r="J777" s="459"/>
      <c r="K777" s="458"/>
      <c r="L777" s="454"/>
      <c r="M777" s="453"/>
      <c r="N777" s="413"/>
      <c r="O777" s="413"/>
      <c r="P777" s="413"/>
      <c r="Q777" s="413"/>
      <c r="R777" s="413"/>
      <c r="S777" s="413"/>
      <c r="T777" s="413"/>
      <c r="U777" s="413"/>
      <c r="V777" s="413"/>
      <c r="W777" s="413"/>
      <c r="X777" s="413"/>
      <c r="Y777" s="413"/>
      <c r="Z777" s="413"/>
    </row>
    <row r="778">
      <c r="A778" s="452"/>
      <c r="B778" s="439"/>
      <c r="C778" s="454"/>
      <c r="D778" s="454"/>
      <c r="E778" s="439"/>
      <c r="F778" s="439"/>
      <c r="G778" s="454"/>
      <c r="H778" s="454"/>
      <c r="I778" s="456"/>
      <c r="J778" s="459"/>
      <c r="K778" s="458"/>
      <c r="L778" s="454"/>
      <c r="M778" s="453"/>
      <c r="N778" s="413"/>
      <c r="O778" s="413"/>
      <c r="P778" s="413"/>
      <c r="Q778" s="413"/>
      <c r="R778" s="413"/>
      <c r="S778" s="413"/>
      <c r="T778" s="413"/>
      <c r="U778" s="413"/>
      <c r="V778" s="413"/>
      <c r="W778" s="413"/>
      <c r="X778" s="413"/>
      <c r="Y778" s="413"/>
      <c r="Z778" s="413"/>
    </row>
    <row r="779">
      <c r="A779" s="452"/>
      <c r="B779" s="439"/>
      <c r="C779" s="454"/>
      <c r="D779" s="454"/>
      <c r="E779" s="439"/>
      <c r="F779" s="439"/>
      <c r="G779" s="454"/>
      <c r="H779" s="454"/>
      <c r="I779" s="456"/>
      <c r="J779" s="459"/>
      <c r="K779" s="458"/>
      <c r="L779" s="454"/>
      <c r="M779" s="453"/>
      <c r="N779" s="413"/>
      <c r="O779" s="413"/>
      <c r="P779" s="413"/>
      <c r="Q779" s="413"/>
      <c r="R779" s="413"/>
      <c r="S779" s="413"/>
      <c r="T779" s="413"/>
      <c r="U779" s="413"/>
      <c r="V779" s="413"/>
      <c r="W779" s="413"/>
      <c r="X779" s="413"/>
      <c r="Y779" s="413"/>
      <c r="Z779" s="413"/>
    </row>
    <row r="780">
      <c r="A780" s="452"/>
      <c r="B780" s="439"/>
      <c r="C780" s="454"/>
      <c r="D780" s="454"/>
      <c r="E780" s="439"/>
      <c r="F780" s="439"/>
      <c r="G780" s="454"/>
      <c r="H780" s="454"/>
      <c r="I780" s="456"/>
      <c r="J780" s="459"/>
      <c r="K780" s="458"/>
      <c r="L780" s="454"/>
      <c r="M780" s="453"/>
      <c r="N780" s="413"/>
      <c r="O780" s="413"/>
      <c r="P780" s="413"/>
      <c r="Q780" s="413"/>
      <c r="R780" s="413"/>
      <c r="S780" s="413"/>
      <c r="T780" s="413"/>
      <c r="U780" s="413"/>
      <c r="V780" s="413"/>
      <c r="W780" s="413"/>
      <c r="X780" s="413"/>
      <c r="Y780" s="413"/>
      <c r="Z780" s="413"/>
    </row>
    <row r="781">
      <c r="A781" s="452"/>
      <c r="B781" s="439"/>
      <c r="C781" s="454"/>
      <c r="D781" s="454"/>
      <c r="E781" s="439"/>
      <c r="F781" s="439"/>
      <c r="G781" s="454"/>
      <c r="H781" s="454"/>
      <c r="I781" s="456"/>
      <c r="J781" s="459"/>
      <c r="K781" s="458"/>
      <c r="L781" s="454"/>
      <c r="M781" s="453"/>
      <c r="N781" s="413"/>
      <c r="O781" s="413"/>
      <c r="P781" s="413"/>
      <c r="Q781" s="413"/>
      <c r="R781" s="413"/>
      <c r="S781" s="413"/>
      <c r="T781" s="413"/>
      <c r="U781" s="413"/>
      <c r="V781" s="413"/>
      <c r="W781" s="413"/>
      <c r="X781" s="413"/>
      <c r="Y781" s="413"/>
      <c r="Z781" s="413"/>
    </row>
    <row r="782">
      <c r="A782" s="452"/>
      <c r="B782" s="439"/>
      <c r="C782" s="454"/>
      <c r="D782" s="454"/>
      <c r="E782" s="439"/>
      <c r="F782" s="439"/>
      <c r="G782" s="454"/>
      <c r="H782" s="454"/>
      <c r="I782" s="456"/>
      <c r="J782" s="459"/>
      <c r="K782" s="458"/>
      <c r="L782" s="454"/>
      <c r="M782" s="453"/>
      <c r="N782" s="413"/>
      <c r="O782" s="413"/>
      <c r="P782" s="413"/>
      <c r="Q782" s="413"/>
      <c r="R782" s="413"/>
      <c r="S782" s="413"/>
      <c r="T782" s="413"/>
      <c r="U782" s="413"/>
      <c r="V782" s="413"/>
      <c r="W782" s="413"/>
      <c r="X782" s="413"/>
      <c r="Y782" s="413"/>
      <c r="Z782" s="413"/>
    </row>
    <row r="783">
      <c r="A783" s="452"/>
      <c r="B783" s="439"/>
      <c r="C783" s="454"/>
      <c r="D783" s="454"/>
      <c r="E783" s="439"/>
      <c r="F783" s="439"/>
      <c r="G783" s="454"/>
      <c r="H783" s="454"/>
      <c r="I783" s="456"/>
      <c r="J783" s="459"/>
      <c r="K783" s="458"/>
      <c r="L783" s="454"/>
      <c r="M783" s="453"/>
      <c r="N783" s="413"/>
      <c r="O783" s="413"/>
      <c r="P783" s="413"/>
      <c r="Q783" s="413"/>
      <c r="R783" s="413"/>
      <c r="S783" s="413"/>
      <c r="T783" s="413"/>
      <c r="U783" s="413"/>
      <c r="V783" s="413"/>
      <c r="W783" s="413"/>
      <c r="X783" s="413"/>
      <c r="Y783" s="413"/>
      <c r="Z783" s="413"/>
    </row>
    <row r="784">
      <c r="A784" s="452"/>
      <c r="B784" s="439"/>
      <c r="C784" s="454"/>
      <c r="D784" s="454"/>
      <c r="E784" s="439"/>
      <c r="F784" s="439"/>
      <c r="G784" s="454"/>
      <c r="H784" s="454"/>
      <c r="I784" s="456"/>
      <c r="J784" s="459"/>
      <c r="K784" s="458"/>
      <c r="L784" s="454"/>
      <c r="M784" s="453"/>
      <c r="N784" s="413"/>
      <c r="O784" s="413"/>
      <c r="P784" s="413"/>
      <c r="Q784" s="413"/>
      <c r="R784" s="413"/>
      <c r="S784" s="413"/>
      <c r="T784" s="413"/>
      <c r="U784" s="413"/>
      <c r="V784" s="413"/>
      <c r="W784" s="413"/>
      <c r="X784" s="413"/>
      <c r="Y784" s="413"/>
      <c r="Z784" s="413"/>
    </row>
    <row r="785">
      <c r="A785" s="452"/>
      <c r="B785" s="439"/>
      <c r="C785" s="454"/>
      <c r="D785" s="454"/>
      <c r="E785" s="439"/>
      <c r="F785" s="439"/>
      <c r="G785" s="454"/>
      <c r="H785" s="454"/>
      <c r="I785" s="456"/>
      <c r="J785" s="459"/>
      <c r="K785" s="458"/>
      <c r="L785" s="454"/>
      <c r="M785" s="453"/>
      <c r="N785" s="413"/>
      <c r="O785" s="413"/>
      <c r="P785" s="413"/>
      <c r="Q785" s="413"/>
      <c r="R785" s="413"/>
      <c r="S785" s="413"/>
      <c r="T785" s="413"/>
      <c r="U785" s="413"/>
      <c r="V785" s="413"/>
      <c r="W785" s="413"/>
      <c r="X785" s="413"/>
      <c r="Y785" s="413"/>
      <c r="Z785" s="413"/>
    </row>
    <row r="786">
      <c r="A786" s="452"/>
      <c r="B786" s="439"/>
      <c r="C786" s="454"/>
      <c r="D786" s="454"/>
      <c r="E786" s="439"/>
      <c r="F786" s="439"/>
      <c r="G786" s="454"/>
      <c r="H786" s="454"/>
      <c r="I786" s="456"/>
      <c r="J786" s="459"/>
      <c r="K786" s="458"/>
      <c r="L786" s="454"/>
      <c r="M786" s="453"/>
      <c r="N786" s="413"/>
      <c r="O786" s="413"/>
      <c r="P786" s="413"/>
      <c r="Q786" s="413"/>
      <c r="R786" s="413"/>
      <c r="S786" s="413"/>
      <c r="T786" s="413"/>
      <c r="U786" s="413"/>
      <c r="V786" s="413"/>
      <c r="W786" s="413"/>
      <c r="X786" s="413"/>
      <c r="Y786" s="413"/>
      <c r="Z786" s="413"/>
    </row>
    <row r="787">
      <c r="A787" s="452"/>
      <c r="B787" s="439"/>
      <c r="C787" s="454"/>
      <c r="D787" s="454"/>
      <c r="E787" s="439"/>
      <c r="F787" s="439"/>
      <c r="G787" s="454"/>
      <c r="H787" s="454"/>
      <c r="I787" s="456"/>
      <c r="J787" s="459"/>
      <c r="K787" s="458"/>
      <c r="L787" s="454"/>
      <c r="M787" s="453"/>
      <c r="N787" s="413"/>
      <c r="O787" s="413"/>
      <c r="P787" s="413"/>
      <c r="Q787" s="413"/>
      <c r="R787" s="413"/>
      <c r="S787" s="413"/>
      <c r="T787" s="413"/>
      <c r="U787" s="413"/>
      <c r="V787" s="413"/>
      <c r="W787" s="413"/>
      <c r="X787" s="413"/>
      <c r="Y787" s="413"/>
      <c r="Z787" s="413"/>
    </row>
    <row r="788">
      <c r="A788" s="452"/>
      <c r="B788" s="439"/>
      <c r="C788" s="454"/>
      <c r="D788" s="454"/>
      <c r="E788" s="439"/>
      <c r="F788" s="439"/>
      <c r="G788" s="454"/>
      <c r="H788" s="454"/>
      <c r="I788" s="456"/>
      <c r="J788" s="459"/>
      <c r="K788" s="458"/>
      <c r="L788" s="454"/>
      <c r="M788" s="453"/>
      <c r="N788" s="413"/>
      <c r="O788" s="413"/>
      <c r="P788" s="413"/>
      <c r="Q788" s="413"/>
      <c r="R788" s="413"/>
      <c r="S788" s="413"/>
      <c r="T788" s="413"/>
      <c r="U788" s="413"/>
      <c r="V788" s="413"/>
      <c r="W788" s="413"/>
      <c r="X788" s="413"/>
      <c r="Y788" s="413"/>
      <c r="Z788" s="413"/>
    </row>
    <row r="789">
      <c r="A789" s="452"/>
      <c r="B789" s="439"/>
      <c r="C789" s="454"/>
      <c r="D789" s="454"/>
      <c r="E789" s="439"/>
      <c r="F789" s="439"/>
      <c r="G789" s="454"/>
      <c r="H789" s="454"/>
      <c r="I789" s="456"/>
      <c r="J789" s="459"/>
      <c r="K789" s="458"/>
      <c r="L789" s="454"/>
      <c r="M789" s="453"/>
      <c r="N789" s="413"/>
      <c r="O789" s="413"/>
      <c r="P789" s="413"/>
      <c r="Q789" s="413"/>
      <c r="R789" s="413"/>
      <c r="S789" s="413"/>
      <c r="T789" s="413"/>
      <c r="U789" s="413"/>
      <c r="V789" s="413"/>
      <c r="W789" s="413"/>
      <c r="X789" s="413"/>
      <c r="Y789" s="413"/>
      <c r="Z789" s="413"/>
    </row>
    <row r="790">
      <c r="A790" s="452"/>
      <c r="B790" s="439"/>
      <c r="C790" s="454"/>
      <c r="D790" s="454"/>
      <c r="E790" s="439"/>
      <c r="F790" s="439"/>
      <c r="G790" s="454"/>
      <c r="H790" s="454"/>
      <c r="I790" s="456"/>
      <c r="J790" s="459"/>
      <c r="K790" s="458"/>
      <c r="L790" s="454"/>
      <c r="M790" s="453"/>
      <c r="N790" s="413"/>
      <c r="O790" s="413"/>
      <c r="P790" s="413"/>
      <c r="Q790" s="413"/>
      <c r="R790" s="413"/>
      <c r="S790" s="413"/>
      <c r="T790" s="413"/>
      <c r="U790" s="413"/>
      <c r="V790" s="413"/>
      <c r="W790" s="413"/>
      <c r="X790" s="413"/>
      <c r="Y790" s="413"/>
      <c r="Z790" s="413"/>
    </row>
    <row r="791">
      <c r="A791" s="452"/>
      <c r="B791" s="439"/>
      <c r="C791" s="454"/>
      <c r="D791" s="454"/>
      <c r="E791" s="439"/>
      <c r="F791" s="439"/>
      <c r="G791" s="454"/>
      <c r="H791" s="454"/>
      <c r="I791" s="456"/>
      <c r="J791" s="459"/>
      <c r="K791" s="458"/>
      <c r="L791" s="454"/>
      <c r="M791" s="453"/>
      <c r="N791" s="413"/>
      <c r="O791" s="413"/>
      <c r="P791" s="413"/>
      <c r="Q791" s="413"/>
      <c r="R791" s="413"/>
      <c r="S791" s="413"/>
      <c r="T791" s="413"/>
      <c r="U791" s="413"/>
      <c r="V791" s="413"/>
      <c r="W791" s="413"/>
      <c r="X791" s="413"/>
      <c r="Y791" s="413"/>
      <c r="Z791" s="413"/>
    </row>
    <row r="792">
      <c r="A792" s="452"/>
      <c r="B792" s="439"/>
      <c r="C792" s="454"/>
      <c r="D792" s="454"/>
      <c r="E792" s="439"/>
      <c r="F792" s="439"/>
      <c r="G792" s="454"/>
      <c r="H792" s="454"/>
      <c r="I792" s="456"/>
      <c r="J792" s="459"/>
      <c r="K792" s="458"/>
      <c r="L792" s="454"/>
      <c r="M792" s="453"/>
      <c r="N792" s="413"/>
      <c r="O792" s="413"/>
      <c r="P792" s="413"/>
      <c r="Q792" s="413"/>
      <c r="R792" s="413"/>
      <c r="S792" s="413"/>
      <c r="T792" s="413"/>
      <c r="U792" s="413"/>
      <c r="V792" s="413"/>
      <c r="W792" s="413"/>
      <c r="X792" s="413"/>
      <c r="Y792" s="413"/>
      <c r="Z792" s="413"/>
    </row>
    <row r="793">
      <c r="A793" s="452"/>
      <c r="B793" s="439"/>
      <c r="C793" s="454"/>
      <c r="D793" s="454"/>
      <c r="E793" s="439"/>
      <c r="F793" s="439"/>
      <c r="G793" s="454"/>
      <c r="H793" s="454"/>
      <c r="I793" s="456"/>
      <c r="J793" s="459"/>
      <c r="K793" s="458"/>
      <c r="L793" s="454"/>
      <c r="M793" s="453"/>
      <c r="N793" s="413"/>
      <c r="O793" s="413"/>
      <c r="P793" s="413"/>
      <c r="Q793" s="413"/>
      <c r="R793" s="413"/>
      <c r="S793" s="413"/>
      <c r="T793" s="413"/>
      <c r="U793" s="413"/>
      <c r="V793" s="413"/>
      <c r="W793" s="413"/>
      <c r="X793" s="413"/>
      <c r="Y793" s="413"/>
      <c r="Z793" s="413"/>
    </row>
    <row r="794">
      <c r="A794" s="452"/>
      <c r="B794" s="439"/>
      <c r="C794" s="454"/>
      <c r="D794" s="454"/>
      <c r="E794" s="439"/>
      <c r="F794" s="439"/>
      <c r="G794" s="454"/>
      <c r="H794" s="454"/>
      <c r="I794" s="456"/>
      <c r="J794" s="459"/>
      <c r="K794" s="458"/>
      <c r="L794" s="454"/>
      <c r="M794" s="453"/>
      <c r="N794" s="413"/>
      <c r="O794" s="413"/>
      <c r="P794" s="413"/>
      <c r="Q794" s="413"/>
      <c r="R794" s="413"/>
      <c r="S794" s="413"/>
      <c r="T794" s="413"/>
      <c r="U794" s="413"/>
      <c r="V794" s="413"/>
      <c r="W794" s="413"/>
      <c r="X794" s="413"/>
      <c r="Y794" s="413"/>
      <c r="Z794" s="413"/>
    </row>
    <row r="795">
      <c r="A795" s="452"/>
      <c r="B795" s="439"/>
      <c r="C795" s="454"/>
      <c r="D795" s="454"/>
      <c r="E795" s="439"/>
      <c r="F795" s="439"/>
      <c r="G795" s="454"/>
      <c r="H795" s="454"/>
      <c r="I795" s="456"/>
      <c r="J795" s="459"/>
      <c r="K795" s="458"/>
      <c r="L795" s="454"/>
      <c r="M795" s="453"/>
      <c r="N795" s="413"/>
      <c r="O795" s="413"/>
      <c r="P795" s="413"/>
      <c r="Q795" s="413"/>
      <c r="R795" s="413"/>
      <c r="S795" s="413"/>
      <c r="T795" s="413"/>
      <c r="U795" s="413"/>
      <c r="V795" s="413"/>
      <c r="W795" s="413"/>
      <c r="X795" s="413"/>
      <c r="Y795" s="413"/>
      <c r="Z795" s="413"/>
    </row>
    <row r="796">
      <c r="A796" s="452"/>
      <c r="B796" s="439"/>
      <c r="C796" s="454"/>
      <c r="D796" s="454"/>
      <c r="E796" s="439"/>
      <c r="F796" s="439"/>
      <c r="G796" s="454"/>
      <c r="H796" s="454"/>
      <c r="I796" s="456"/>
      <c r="J796" s="459"/>
      <c r="K796" s="458"/>
      <c r="L796" s="454"/>
      <c r="M796" s="453"/>
      <c r="N796" s="413"/>
      <c r="O796" s="413"/>
      <c r="P796" s="413"/>
      <c r="Q796" s="413"/>
      <c r="R796" s="413"/>
      <c r="S796" s="413"/>
      <c r="T796" s="413"/>
      <c r="U796" s="413"/>
      <c r="V796" s="413"/>
      <c r="W796" s="413"/>
      <c r="X796" s="413"/>
      <c r="Y796" s="413"/>
      <c r="Z796" s="413"/>
    </row>
    <row r="797">
      <c r="A797" s="452"/>
      <c r="B797" s="439"/>
      <c r="C797" s="454"/>
      <c r="D797" s="454"/>
      <c r="E797" s="439"/>
      <c r="F797" s="439"/>
      <c r="G797" s="454"/>
      <c r="H797" s="454"/>
      <c r="I797" s="456"/>
      <c r="J797" s="459"/>
      <c r="K797" s="458"/>
      <c r="L797" s="454"/>
      <c r="M797" s="453"/>
      <c r="N797" s="413"/>
      <c r="O797" s="413"/>
      <c r="P797" s="413"/>
      <c r="Q797" s="413"/>
      <c r="R797" s="413"/>
      <c r="S797" s="413"/>
      <c r="T797" s="413"/>
      <c r="U797" s="413"/>
      <c r="V797" s="413"/>
      <c r="W797" s="413"/>
      <c r="X797" s="413"/>
      <c r="Y797" s="413"/>
      <c r="Z797" s="413"/>
    </row>
    <row r="798">
      <c r="A798" s="452"/>
      <c r="B798" s="439"/>
      <c r="C798" s="454"/>
      <c r="D798" s="454"/>
      <c r="E798" s="439"/>
      <c r="F798" s="439"/>
      <c r="G798" s="454"/>
      <c r="H798" s="454"/>
      <c r="I798" s="456"/>
      <c r="J798" s="459"/>
      <c r="K798" s="458"/>
      <c r="L798" s="454"/>
      <c r="M798" s="453"/>
      <c r="N798" s="413"/>
      <c r="O798" s="413"/>
      <c r="P798" s="413"/>
      <c r="Q798" s="413"/>
      <c r="R798" s="413"/>
      <c r="S798" s="413"/>
      <c r="T798" s="413"/>
      <c r="U798" s="413"/>
      <c r="V798" s="413"/>
      <c r="W798" s="413"/>
      <c r="X798" s="413"/>
      <c r="Y798" s="413"/>
      <c r="Z798" s="413"/>
    </row>
    <row r="799">
      <c r="A799" s="452"/>
      <c r="B799" s="439"/>
      <c r="C799" s="454"/>
      <c r="D799" s="454"/>
      <c r="E799" s="439"/>
      <c r="F799" s="439"/>
      <c r="G799" s="454"/>
      <c r="H799" s="454"/>
      <c r="I799" s="456"/>
      <c r="J799" s="459"/>
      <c r="K799" s="458"/>
      <c r="L799" s="454"/>
      <c r="M799" s="453"/>
      <c r="N799" s="413"/>
      <c r="O799" s="413"/>
      <c r="P799" s="413"/>
      <c r="Q799" s="413"/>
      <c r="R799" s="413"/>
      <c r="S799" s="413"/>
      <c r="T799" s="413"/>
      <c r="U799" s="413"/>
      <c r="V799" s="413"/>
      <c r="W799" s="413"/>
      <c r="X799" s="413"/>
      <c r="Y799" s="413"/>
      <c r="Z799" s="413"/>
    </row>
    <row r="800">
      <c r="A800" s="452"/>
      <c r="B800" s="439"/>
      <c r="C800" s="454"/>
      <c r="D800" s="454"/>
      <c r="E800" s="439"/>
      <c r="F800" s="439"/>
      <c r="G800" s="454"/>
      <c r="H800" s="454"/>
      <c r="I800" s="456"/>
      <c r="J800" s="459"/>
      <c r="K800" s="458"/>
      <c r="L800" s="454"/>
      <c r="M800" s="453"/>
      <c r="N800" s="413"/>
      <c r="O800" s="413"/>
      <c r="P800" s="413"/>
      <c r="Q800" s="413"/>
      <c r="R800" s="413"/>
      <c r="S800" s="413"/>
      <c r="T800" s="413"/>
      <c r="U800" s="413"/>
      <c r="V800" s="413"/>
      <c r="W800" s="413"/>
      <c r="X800" s="413"/>
      <c r="Y800" s="413"/>
      <c r="Z800" s="413"/>
    </row>
    <row r="801">
      <c r="A801" s="452"/>
      <c r="B801" s="439"/>
      <c r="C801" s="454"/>
      <c r="D801" s="454"/>
      <c r="E801" s="439"/>
      <c r="F801" s="439"/>
      <c r="G801" s="454"/>
      <c r="H801" s="454"/>
      <c r="I801" s="456"/>
      <c r="J801" s="459"/>
      <c r="K801" s="458"/>
      <c r="L801" s="454"/>
      <c r="M801" s="453"/>
      <c r="N801" s="413"/>
      <c r="O801" s="413"/>
      <c r="P801" s="413"/>
      <c r="Q801" s="413"/>
      <c r="R801" s="413"/>
      <c r="S801" s="413"/>
      <c r="T801" s="413"/>
      <c r="U801" s="413"/>
      <c r="V801" s="413"/>
      <c r="W801" s="413"/>
      <c r="X801" s="413"/>
      <c r="Y801" s="413"/>
      <c r="Z801" s="413"/>
    </row>
    <row r="802">
      <c r="A802" s="452"/>
      <c r="B802" s="439"/>
      <c r="C802" s="454"/>
      <c r="D802" s="454"/>
      <c r="E802" s="439"/>
      <c r="F802" s="439"/>
      <c r="G802" s="454"/>
      <c r="H802" s="454"/>
      <c r="I802" s="456"/>
      <c r="J802" s="459"/>
      <c r="K802" s="458"/>
      <c r="L802" s="454"/>
      <c r="M802" s="453"/>
      <c r="N802" s="413"/>
      <c r="O802" s="413"/>
      <c r="P802" s="413"/>
      <c r="Q802" s="413"/>
      <c r="R802" s="413"/>
      <c r="S802" s="413"/>
      <c r="T802" s="413"/>
      <c r="U802" s="413"/>
      <c r="V802" s="413"/>
      <c r="W802" s="413"/>
      <c r="X802" s="413"/>
      <c r="Y802" s="413"/>
      <c r="Z802" s="413"/>
    </row>
    <row r="803">
      <c r="A803" s="452"/>
      <c r="B803" s="439"/>
      <c r="C803" s="454"/>
      <c r="D803" s="454"/>
      <c r="E803" s="439"/>
      <c r="F803" s="439"/>
      <c r="G803" s="454"/>
      <c r="H803" s="454"/>
      <c r="I803" s="456"/>
      <c r="J803" s="459"/>
      <c r="K803" s="458"/>
      <c r="L803" s="454"/>
      <c r="M803" s="453"/>
      <c r="N803" s="413"/>
      <c r="O803" s="413"/>
      <c r="P803" s="413"/>
      <c r="Q803" s="413"/>
      <c r="R803" s="413"/>
      <c r="S803" s="413"/>
      <c r="T803" s="413"/>
      <c r="U803" s="413"/>
      <c r="V803" s="413"/>
      <c r="W803" s="413"/>
      <c r="X803" s="413"/>
      <c r="Y803" s="413"/>
      <c r="Z803" s="413"/>
    </row>
    <row r="804">
      <c r="A804" s="452"/>
      <c r="B804" s="439"/>
      <c r="C804" s="454"/>
      <c r="D804" s="454"/>
      <c r="E804" s="439"/>
      <c r="F804" s="439"/>
      <c r="G804" s="454"/>
      <c r="H804" s="454"/>
      <c r="I804" s="456"/>
      <c r="J804" s="459"/>
      <c r="K804" s="458"/>
      <c r="L804" s="454"/>
      <c r="M804" s="453"/>
      <c r="N804" s="413"/>
      <c r="O804" s="413"/>
      <c r="P804" s="413"/>
      <c r="Q804" s="413"/>
      <c r="R804" s="413"/>
      <c r="S804" s="413"/>
      <c r="T804" s="413"/>
      <c r="U804" s="413"/>
      <c r="V804" s="413"/>
      <c r="W804" s="413"/>
      <c r="X804" s="413"/>
      <c r="Y804" s="413"/>
      <c r="Z804" s="413"/>
    </row>
    <row r="805">
      <c r="A805" s="452"/>
      <c r="B805" s="439"/>
      <c r="C805" s="454"/>
      <c r="D805" s="454"/>
      <c r="E805" s="439"/>
      <c r="F805" s="439"/>
      <c r="G805" s="454"/>
      <c r="H805" s="454"/>
      <c r="I805" s="456"/>
      <c r="J805" s="459"/>
      <c r="K805" s="458"/>
      <c r="L805" s="454"/>
      <c r="M805" s="453"/>
      <c r="N805" s="413"/>
      <c r="O805" s="413"/>
      <c r="P805" s="413"/>
      <c r="Q805" s="413"/>
      <c r="R805" s="413"/>
      <c r="S805" s="413"/>
      <c r="T805" s="413"/>
      <c r="U805" s="413"/>
      <c r="V805" s="413"/>
      <c r="W805" s="413"/>
      <c r="X805" s="413"/>
      <c r="Y805" s="413"/>
      <c r="Z805" s="413"/>
    </row>
    <row r="806">
      <c r="A806" s="452"/>
      <c r="B806" s="439"/>
      <c r="C806" s="454"/>
      <c r="D806" s="454"/>
      <c r="E806" s="439"/>
      <c r="F806" s="439"/>
      <c r="G806" s="454"/>
      <c r="H806" s="454"/>
      <c r="I806" s="456"/>
      <c r="J806" s="459"/>
      <c r="K806" s="458"/>
      <c r="L806" s="454"/>
      <c r="M806" s="453"/>
      <c r="N806" s="413"/>
      <c r="O806" s="413"/>
      <c r="P806" s="413"/>
      <c r="Q806" s="413"/>
      <c r="R806" s="413"/>
      <c r="S806" s="413"/>
      <c r="T806" s="413"/>
      <c r="U806" s="413"/>
      <c r="V806" s="413"/>
      <c r="W806" s="413"/>
      <c r="X806" s="413"/>
      <c r="Y806" s="413"/>
      <c r="Z806" s="413"/>
    </row>
    <row r="807">
      <c r="A807" s="452"/>
      <c r="B807" s="439"/>
      <c r="C807" s="454"/>
      <c r="D807" s="454"/>
      <c r="E807" s="439"/>
      <c r="F807" s="439"/>
      <c r="G807" s="454"/>
      <c r="H807" s="454"/>
      <c r="I807" s="456"/>
      <c r="J807" s="459"/>
      <c r="K807" s="458"/>
      <c r="L807" s="454"/>
      <c r="M807" s="453"/>
      <c r="N807" s="413"/>
      <c r="O807" s="413"/>
      <c r="P807" s="413"/>
      <c r="Q807" s="413"/>
      <c r="R807" s="413"/>
      <c r="S807" s="413"/>
      <c r="T807" s="413"/>
      <c r="U807" s="413"/>
      <c r="V807" s="413"/>
      <c r="W807" s="413"/>
      <c r="X807" s="413"/>
      <c r="Y807" s="413"/>
      <c r="Z807" s="413"/>
    </row>
    <row r="808">
      <c r="A808" s="452"/>
      <c r="B808" s="439"/>
      <c r="C808" s="454"/>
      <c r="D808" s="454"/>
      <c r="E808" s="439"/>
      <c r="F808" s="439"/>
      <c r="G808" s="454"/>
      <c r="H808" s="454"/>
      <c r="I808" s="456"/>
      <c r="J808" s="459"/>
      <c r="K808" s="458"/>
      <c r="L808" s="454"/>
      <c r="M808" s="453"/>
      <c r="N808" s="413"/>
      <c r="O808" s="413"/>
      <c r="P808" s="413"/>
      <c r="Q808" s="413"/>
      <c r="R808" s="413"/>
      <c r="S808" s="413"/>
      <c r="T808" s="413"/>
      <c r="U808" s="413"/>
      <c r="V808" s="413"/>
      <c r="W808" s="413"/>
      <c r="X808" s="413"/>
      <c r="Y808" s="413"/>
      <c r="Z808" s="413"/>
    </row>
    <row r="809">
      <c r="A809" s="452"/>
      <c r="B809" s="439"/>
      <c r="C809" s="454"/>
      <c r="D809" s="454"/>
      <c r="E809" s="439"/>
      <c r="F809" s="439"/>
      <c r="G809" s="454"/>
      <c r="H809" s="454"/>
      <c r="I809" s="456"/>
      <c r="J809" s="459"/>
      <c r="K809" s="458"/>
      <c r="L809" s="454"/>
      <c r="M809" s="453"/>
      <c r="N809" s="413"/>
      <c r="O809" s="413"/>
      <c r="P809" s="413"/>
      <c r="Q809" s="413"/>
      <c r="R809" s="413"/>
      <c r="S809" s="413"/>
      <c r="T809" s="413"/>
      <c r="U809" s="413"/>
      <c r="V809" s="413"/>
      <c r="W809" s="413"/>
      <c r="X809" s="413"/>
      <c r="Y809" s="413"/>
      <c r="Z809" s="413"/>
    </row>
    <row r="810">
      <c r="A810" s="452"/>
      <c r="B810" s="439"/>
      <c r="C810" s="454"/>
      <c r="D810" s="454"/>
      <c r="E810" s="439"/>
      <c r="F810" s="439"/>
      <c r="G810" s="454"/>
      <c r="H810" s="454"/>
      <c r="I810" s="456"/>
      <c r="J810" s="459"/>
      <c r="K810" s="458"/>
      <c r="L810" s="454"/>
      <c r="M810" s="453"/>
      <c r="N810" s="413"/>
      <c r="O810" s="413"/>
      <c r="P810" s="413"/>
      <c r="Q810" s="413"/>
      <c r="R810" s="413"/>
      <c r="S810" s="413"/>
      <c r="T810" s="413"/>
      <c r="U810" s="413"/>
      <c r="V810" s="413"/>
      <c r="W810" s="413"/>
      <c r="X810" s="413"/>
      <c r="Y810" s="413"/>
      <c r="Z810" s="413"/>
    </row>
    <row r="811">
      <c r="A811" s="452"/>
      <c r="B811" s="439"/>
      <c r="C811" s="454"/>
      <c r="D811" s="454"/>
      <c r="E811" s="439"/>
      <c r="F811" s="439"/>
      <c r="G811" s="454"/>
      <c r="H811" s="454"/>
      <c r="I811" s="456"/>
      <c r="J811" s="459"/>
      <c r="K811" s="458"/>
      <c r="L811" s="454"/>
      <c r="M811" s="453"/>
      <c r="N811" s="413"/>
      <c r="O811" s="413"/>
      <c r="P811" s="413"/>
      <c r="Q811" s="413"/>
      <c r="R811" s="413"/>
      <c r="S811" s="413"/>
      <c r="T811" s="413"/>
      <c r="U811" s="413"/>
      <c r="V811" s="413"/>
      <c r="W811" s="413"/>
      <c r="X811" s="413"/>
      <c r="Y811" s="413"/>
      <c r="Z811" s="413"/>
    </row>
    <row r="812">
      <c r="A812" s="452"/>
      <c r="B812" s="439"/>
      <c r="C812" s="454"/>
      <c r="D812" s="454"/>
      <c r="E812" s="439"/>
      <c r="F812" s="439"/>
      <c r="G812" s="454"/>
      <c r="H812" s="454"/>
      <c r="I812" s="456"/>
      <c r="J812" s="459"/>
      <c r="K812" s="458"/>
      <c r="L812" s="454"/>
      <c r="M812" s="453"/>
      <c r="N812" s="413"/>
      <c r="O812" s="413"/>
      <c r="P812" s="413"/>
      <c r="Q812" s="413"/>
      <c r="R812" s="413"/>
      <c r="S812" s="413"/>
      <c r="T812" s="413"/>
      <c r="U812" s="413"/>
      <c r="V812" s="413"/>
      <c r="W812" s="413"/>
      <c r="X812" s="413"/>
      <c r="Y812" s="413"/>
      <c r="Z812" s="413"/>
    </row>
    <row r="813">
      <c r="A813" s="452"/>
      <c r="B813" s="439"/>
      <c r="C813" s="454"/>
      <c r="D813" s="454"/>
      <c r="E813" s="439"/>
      <c r="F813" s="439"/>
      <c r="G813" s="454"/>
      <c r="H813" s="454"/>
      <c r="I813" s="456"/>
      <c r="J813" s="459"/>
      <c r="K813" s="458"/>
      <c r="L813" s="454"/>
      <c r="M813" s="453"/>
      <c r="N813" s="413"/>
      <c r="O813" s="413"/>
      <c r="P813" s="413"/>
      <c r="Q813" s="413"/>
      <c r="R813" s="413"/>
      <c r="S813" s="413"/>
      <c r="T813" s="413"/>
      <c r="U813" s="413"/>
      <c r="V813" s="413"/>
      <c r="W813" s="413"/>
      <c r="X813" s="413"/>
      <c r="Y813" s="413"/>
      <c r="Z813" s="413"/>
    </row>
    <row r="814">
      <c r="A814" s="452"/>
      <c r="B814" s="439"/>
      <c r="C814" s="454"/>
      <c r="D814" s="454"/>
      <c r="E814" s="439"/>
      <c r="F814" s="439"/>
      <c r="G814" s="454"/>
      <c r="H814" s="454"/>
      <c r="I814" s="456"/>
      <c r="J814" s="459"/>
      <c r="K814" s="458"/>
      <c r="L814" s="454"/>
      <c r="M814" s="453"/>
      <c r="N814" s="413"/>
      <c r="O814" s="413"/>
      <c r="P814" s="413"/>
      <c r="Q814" s="413"/>
      <c r="R814" s="413"/>
      <c r="S814" s="413"/>
      <c r="T814" s="413"/>
      <c r="U814" s="413"/>
      <c r="V814" s="413"/>
      <c r="W814" s="413"/>
      <c r="X814" s="413"/>
      <c r="Y814" s="413"/>
      <c r="Z814" s="413"/>
    </row>
    <row r="815">
      <c r="A815" s="452"/>
      <c r="B815" s="439"/>
      <c r="C815" s="454"/>
      <c r="D815" s="454"/>
      <c r="E815" s="439"/>
      <c r="F815" s="439"/>
      <c r="G815" s="454"/>
      <c r="H815" s="454"/>
      <c r="I815" s="456"/>
      <c r="J815" s="459"/>
      <c r="K815" s="458"/>
      <c r="L815" s="454"/>
      <c r="M815" s="453"/>
      <c r="N815" s="413"/>
      <c r="O815" s="413"/>
      <c r="P815" s="413"/>
      <c r="Q815" s="413"/>
      <c r="R815" s="413"/>
      <c r="S815" s="413"/>
      <c r="T815" s="413"/>
      <c r="U815" s="413"/>
      <c r="V815" s="413"/>
      <c r="W815" s="413"/>
      <c r="X815" s="413"/>
      <c r="Y815" s="413"/>
      <c r="Z815" s="413"/>
    </row>
    <row r="816">
      <c r="A816" s="452"/>
      <c r="B816" s="439"/>
      <c r="C816" s="454"/>
      <c r="D816" s="454"/>
      <c r="E816" s="439"/>
      <c r="F816" s="439"/>
      <c r="G816" s="454"/>
      <c r="H816" s="454"/>
      <c r="I816" s="456"/>
      <c r="J816" s="459"/>
      <c r="K816" s="458"/>
      <c r="L816" s="454"/>
      <c r="M816" s="453"/>
      <c r="N816" s="413"/>
      <c r="O816" s="413"/>
      <c r="P816" s="413"/>
      <c r="Q816" s="413"/>
      <c r="R816" s="413"/>
      <c r="S816" s="413"/>
      <c r="T816" s="413"/>
      <c r="U816" s="413"/>
      <c r="V816" s="413"/>
      <c r="W816" s="413"/>
      <c r="X816" s="413"/>
      <c r="Y816" s="413"/>
      <c r="Z816" s="413"/>
    </row>
    <row r="817">
      <c r="A817" s="452"/>
      <c r="B817" s="439"/>
      <c r="C817" s="454"/>
      <c r="D817" s="454"/>
      <c r="E817" s="439"/>
      <c r="F817" s="439"/>
      <c r="G817" s="454"/>
      <c r="H817" s="454"/>
      <c r="I817" s="456"/>
      <c r="J817" s="459"/>
      <c r="K817" s="458"/>
      <c r="L817" s="454"/>
      <c r="M817" s="453"/>
      <c r="N817" s="413"/>
      <c r="O817" s="413"/>
      <c r="P817" s="413"/>
      <c r="Q817" s="413"/>
      <c r="R817" s="413"/>
      <c r="S817" s="413"/>
      <c r="T817" s="413"/>
      <c r="U817" s="413"/>
      <c r="V817" s="413"/>
      <c r="W817" s="413"/>
      <c r="X817" s="413"/>
      <c r="Y817" s="413"/>
      <c r="Z817" s="413"/>
    </row>
    <row r="818">
      <c r="A818" s="452"/>
      <c r="B818" s="439"/>
      <c r="C818" s="454"/>
      <c r="D818" s="454"/>
      <c r="E818" s="439"/>
      <c r="F818" s="439"/>
      <c r="G818" s="454"/>
      <c r="H818" s="454"/>
      <c r="I818" s="456"/>
      <c r="J818" s="459"/>
      <c r="K818" s="458"/>
      <c r="L818" s="454"/>
      <c r="M818" s="453"/>
      <c r="N818" s="413"/>
      <c r="O818" s="413"/>
      <c r="P818" s="413"/>
      <c r="Q818" s="413"/>
      <c r="R818" s="413"/>
      <c r="S818" s="413"/>
      <c r="T818" s="413"/>
      <c r="U818" s="413"/>
      <c r="V818" s="413"/>
      <c r="W818" s="413"/>
      <c r="X818" s="413"/>
      <c r="Y818" s="413"/>
      <c r="Z818" s="413"/>
    </row>
    <row r="819">
      <c r="A819" s="452"/>
      <c r="B819" s="439"/>
      <c r="C819" s="454"/>
      <c r="D819" s="454"/>
      <c r="E819" s="439"/>
      <c r="F819" s="439"/>
      <c r="G819" s="454"/>
      <c r="H819" s="454"/>
      <c r="I819" s="456"/>
      <c r="J819" s="459"/>
      <c r="K819" s="458"/>
      <c r="L819" s="454"/>
      <c r="M819" s="453"/>
      <c r="N819" s="413"/>
      <c r="O819" s="413"/>
      <c r="P819" s="413"/>
      <c r="Q819" s="413"/>
      <c r="R819" s="413"/>
      <c r="S819" s="413"/>
      <c r="T819" s="413"/>
      <c r="U819" s="413"/>
      <c r="V819" s="413"/>
      <c r="W819" s="413"/>
      <c r="X819" s="413"/>
      <c r="Y819" s="413"/>
      <c r="Z819" s="413"/>
    </row>
    <row r="820">
      <c r="A820" s="452"/>
      <c r="B820" s="439"/>
      <c r="C820" s="454"/>
      <c r="D820" s="454"/>
      <c r="E820" s="439"/>
      <c r="F820" s="439"/>
      <c r="G820" s="454"/>
      <c r="H820" s="454"/>
      <c r="I820" s="456"/>
      <c r="J820" s="459"/>
      <c r="K820" s="458"/>
      <c r="L820" s="454"/>
      <c r="M820" s="453"/>
      <c r="N820" s="413"/>
      <c r="O820" s="413"/>
      <c r="P820" s="413"/>
      <c r="Q820" s="413"/>
      <c r="R820" s="413"/>
      <c r="S820" s="413"/>
      <c r="T820" s="413"/>
      <c r="U820" s="413"/>
      <c r="V820" s="413"/>
      <c r="W820" s="413"/>
      <c r="X820" s="413"/>
      <c r="Y820" s="413"/>
      <c r="Z820" s="413"/>
    </row>
    <row r="821">
      <c r="A821" s="452"/>
      <c r="B821" s="439"/>
      <c r="C821" s="454"/>
      <c r="D821" s="454"/>
      <c r="E821" s="439"/>
      <c r="F821" s="439"/>
      <c r="G821" s="454"/>
      <c r="H821" s="454"/>
      <c r="I821" s="456"/>
      <c r="J821" s="459"/>
      <c r="K821" s="458"/>
      <c r="L821" s="454"/>
      <c r="M821" s="453"/>
      <c r="N821" s="413"/>
      <c r="O821" s="413"/>
      <c r="P821" s="413"/>
      <c r="Q821" s="413"/>
      <c r="R821" s="413"/>
      <c r="S821" s="413"/>
      <c r="T821" s="413"/>
      <c r="U821" s="413"/>
      <c r="V821" s="413"/>
      <c r="W821" s="413"/>
      <c r="X821" s="413"/>
      <c r="Y821" s="413"/>
      <c r="Z821" s="413"/>
    </row>
    <row r="822">
      <c r="A822" s="452"/>
      <c r="B822" s="439"/>
      <c r="C822" s="454"/>
      <c r="D822" s="454"/>
      <c r="E822" s="439"/>
      <c r="F822" s="439"/>
      <c r="G822" s="454"/>
      <c r="H822" s="454"/>
      <c r="I822" s="456"/>
      <c r="J822" s="459"/>
      <c r="K822" s="458"/>
      <c r="L822" s="454"/>
      <c r="M822" s="453"/>
      <c r="N822" s="413"/>
      <c r="O822" s="413"/>
      <c r="P822" s="413"/>
      <c r="Q822" s="413"/>
      <c r="R822" s="413"/>
      <c r="S822" s="413"/>
      <c r="T822" s="413"/>
      <c r="U822" s="413"/>
      <c r="V822" s="413"/>
      <c r="W822" s="413"/>
      <c r="X822" s="413"/>
      <c r="Y822" s="413"/>
      <c r="Z822" s="413"/>
    </row>
    <row r="823">
      <c r="A823" s="452"/>
      <c r="B823" s="439"/>
      <c r="C823" s="454"/>
      <c r="D823" s="454"/>
      <c r="E823" s="439"/>
      <c r="F823" s="439"/>
      <c r="G823" s="454"/>
      <c r="H823" s="454"/>
      <c r="I823" s="456"/>
      <c r="J823" s="459"/>
      <c r="K823" s="458"/>
      <c r="L823" s="454"/>
      <c r="M823" s="453"/>
      <c r="N823" s="413"/>
      <c r="O823" s="413"/>
      <c r="P823" s="413"/>
      <c r="Q823" s="413"/>
      <c r="R823" s="413"/>
      <c r="S823" s="413"/>
      <c r="T823" s="413"/>
      <c r="U823" s="413"/>
      <c r="V823" s="413"/>
      <c r="W823" s="413"/>
      <c r="X823" s="413"/>
      <c r="Y823" s="413"/>
      <c r="Z823" s="413"/>
    </row>
    <row r="824">
      <c r="A824" s="452"/>
      <c r="B824" s="439"/>
      <c r="C824" s="454"/>
      <c r="D824" s="454"/>
      <c r="E824" s="439"/>
      <c r="F824" s="439"/>
      <c r="G824" s="454"/>
      <c r="H824" s="454"/>
      <c r="I824" s="456"/>
      <c r="J824" s="459"/>
      <c r="K824" s="458"/>
      <c r="L824" s="454"/>
      <c r="M824" s="453"/>
      <c r="N824" s="413"/>
      <c r="O824" s="413"/>
      <c r="P824" s="413"/>
      <c r="Q824" s="413"/>
      <c r="R824" s="413"/>
      <c r="S824" s="413"/>
      <c r="T824" s="413"/>
      <c r="U824" s="413"/>
      <c r="V824" s="413"/>
      <c r="W824" s="413"/>
      <c r="X824" s="413"/>
      <c r="Y824" s="413"/>
      <c r="Z824" s="413"/>
    </row>
    <row r="825">
      <c r="A825" s="452"/>
      <c r="B825" s="439"/>
      <c r="C825" s="454"/>
      <c r="D825" s="454"/>
      <c r="E825" s="439"/>
      <c r="F825" s="439"/>
      <c r="G825" s="454"/>
      <c r="H825" s="454"/>
      <c r="I825" s="456"/>
      <c r="J825" s="459"/>
      <c r="K825" s="458"/>
      <c r="L825" s="454"/>
      <c r="M825" s="453"/>
      <c r="N825" s="413"/>
      <c r="O825" s="413"/>
      <c r="P825" s="413"/>
      <c r="Q825" s="413"/>
      <c r="R825" s="413"/>
      <c r="S825" s="413"/>
      <c r="T825" s="413"/>
      <c r="U825" s="413"/>
      <c r="V825" s="413"/>
      <c r="W825" s="413"/>
      <c r="X825" s="413"/>
      <c r="Y825" s="413"/>
      <c r="Z825" s="413"/>
    </row>
    <row r="826">
      <c r="A826" s="452"/>
      <c r="B826" s="439"/>
      <c r="C826" s="454"/>
      <c r="D826" s="454"/>
      <c r="E826" s="439"/>
      <c r="F826" s="439"/>
      <c r="G826" s="454"/>
      <c r="H826" s="454"/>
      <c r="I826" s="456"/>
      <c r="J826" s="459"/>
      <c r="K826" s="458"/>
      <c r="L826" s="454"/>
      <c r="M826" s="453"/>
      <c r="N826" s="413"/>
      <c r="O826" s="413"/>
      <c r="P826" s="413"/>
      <c r="Q826" s="413"/>
      <c r="R826" s="413"/>
      <c r="S826" s="413"/>
      <c r="T826" s="413"/>
      <c r="U826" s="413"/>
      <c r="V826" s="413"/>
      <c r="W826" s="413"/>
      <c r="X826" s="413"/>
      <c r="Y826" s="413"/>
      <c r="Z826" s="413"/>
    </row>
    <row r="827">
      <c r="A827" s="452"/>
      <c r="B827" s="439"/>
      <c r="C827" s="454"/>
      <c r="D827" s="454"/>
      <c r="E827" s="439"/>
      <c r="F827" s="439"/>
      <c r="G827" s="454"/>
      <c r="H827" s="454"/>
      <c r="I827" s="456"/>
      <c r="J827" s="459"/>
      <c r="K827" s="458"/>
      <c r="L827" s="454"/>
      <c r="M827" s="453"/>
      <c r="N827" s="413"/>
      <c r="O827" s="413"/>
      <c r="P827" s="413"/>
      <c r="Q827" s="413"/>
      <c r="R827" s="413"/>
      <c r="S827" s="413"/>
      <c r="T827" s="413"/>
      <c r="U827" s="413"/>
      <c r="V827" s="413"/>
      <c r="W827" s="413"/>
      <c r="X827" s="413"/>
      <c r="Y827" s="413"/>
      <c r="Z827" s="413"/>
    </row>
    <row r="828">
      <c r="A828" s="452"/>
      <c r="B828" s="439"/>
      <c r="C828" s="454"/>
      <c r="D828" s="454"/>
      <c r="E828" s="439"/>
      <c r="F828" s="439"/>
      <c r="G828" s="454"/>
      <c r="H828" s="454"/>
      <c r="I828" s="456"/>
      <c r="J828" s="459"/>
      <c r="K828" s="458"/>
      <c r="L828" s="454"/>
      <c r="M828" s="453"/>
      <c r="N828" s="413"/>
      <c r="O828" s="413"/>
      <c r="P828" s="413"/>
      <c r="Q828" s="413"/>
      <c r="R828" s="413"/>
      <c r="S828" s="413"/>
      <c r="T828" s="413"/>
      <c r="U828" s="413"/>
      <c r="V828" s="413"/>
      <c r="W828" s="413"/>
      <c r="X828" s="413"/>
      <c r="Y828" s="413"/>
      <c r="Z828" s="413"/>
    </row>
    <row r="829">
      <c r="A829" s="452"/>
      <c r="B829" s="439"/>
      <c r="C829" s="454"/>
      <c r="D829" s="454"/>
      <c r="E829" s="439"/>
      <c r="F829" s="439"/>
      <c r="G829" s="454"/>
      <c r="H829" s="454"/>
      <c r="I829" s="456"/>
      <c r="J829" s="459"/>
      <c r="K829" s="458"/>
      <c r="L829" s="454"/>
      <c r="M829" s="453"/>
      <c r="N829" s="413"/>
      <c r="O829" s="413"/>
      <c r="P829" s="413"/>
      <c r="Q829" s="413"/>
      <c r="R829" s="413"/>
      <c r="S829" s="413"/>
      <c r="T829" s="413"/>
      <c r="U829" s="413"/>
      <c r="V829" s="413"/>
      <c r="W829" s="413"/>
      <c r="X829" s="413"/>
      <c r="Y829" s="413"/>
      <c r="Z829" s="413"/>
    </row>
    <row r="830">
      <c r="A830" s="452"/>
      <c r="B830" s="439"/>
      <c r="C830" s="454"/>
      <c r="D830" s="454"/>
      <c r="E830" s="439"/>
      <c r="F830" s="439"/>
      <c r="G830" s="454"/>
      <c r="H830" s="454"/>
      <c r="I830" s="456"/>
      <c r="J830" s="459"/>
      <c r="K830" s="458"/>
      <c r="L830" s="454"/>
      <c r="M830" s="453"/>
      <c r="N830" s="413"/>
      <c r="O830" s="413"/>
      <c r="P830" s="413"/>
      <c r="Q830" s="413"/>
      <c r="R830" s="413"/>
      <c r="S830" s="413"/>
      <c r="T830" s="413"/>
      <c r="U830" s="413"/>
      <c r="V830" s="413"/>
      <c r="W830" s="413"/>
      <c r="X830" s="413"/>
      <c r="Y830" s="413"/>
      <c r="Z830" s="413"/>
    </row>
    <row r="831">
      <c r="A831" s="452"/>
      <c r="B831" s="439"/>
      <c r="C831" s="454"/>
      <c r="D831" s="454"/>
      <c r="E831" s="439"/>
      <c r="F831" s="439"/>
      <c r="G831" s="454"/>
      <c r="H831" s="454"/>
      <c r="I831" s="456"/>
      <c r="J831" s="459"/>
      <c r="K831" s="458"/>
      <c r="L831" s="454"/>
      <c r="M831" s="453"/>
      <c r="N831" s="413"/>
      <c r="O831" s="413"/>
      <c r="P831" s="413"/>
      <c r="Q831" s="413"/>
      <c r="R831" s="413"/>
      <c r="S831" s="413"/>
      <c r="T831" s="413"/>
      <c r="U831" s="413"/>
      <c r="V831" s="413"/>
      <c r="W831" s="413"/>
      <c r="X831" s="413"/>
      <c r="Y831" s="413"/>
      <c r="Z831" s="413"/>
    </row>
    <row r="832">
      <c r="A832" s="452"/>
      <c r="B832" s="439"/>
      <c r="C832" s="454"/>
      <c r="D832" s="454"/>
      <c r="E832" s="439"/>
      <c r="F832" s="439"/>
      <c r="G832" s="454"/>
      <c r="H832" s="454"/>
      <c r="I832" s="456"/>
      <c r="J832" s="459"/>
      <c r="K832" s="458"/>
      <c r="L832" s="454"/>
      <c r="M832" s="453"/>
      <c r="N832" s="413"/>
      <c r="O832" s="413"/>
      <c r="P832" s="413"/>
      <c r="Q832" s="413"/>
      <c r="R832" s="413"/>
      <c r="S832" s="413"/>
      <c r="T832" s="413"/>
      <c r="U832" s="413"/>
      <c r="V832" s="413"/>
      <c r="W832" s="413"/>
      <c r="X832" s="413"/>
      <c r="Y832" s="413"/>
      <c r="Z832" s="413"/>
    </row>
    <row r="833">
      <c r="A833" s="452"/>
      <c r="B833" s="439"/>
      <c r="C833" s="454"/>
      <c r="D833" s="454"/>
      <c r="E833" s="439"/>
      <c r="F833" s="439"/>
      <c r="G833" s="454"/>
      <c r="H833" s="454"/>
      <c r="I833" s="456"/>
      <c r="J833" s="459"/>
      <c r="K833" s="458"/>
      <c r="L833" s="454"/>
      <c r="M833" s="453"/>
      <c r="N833" s="413"/>
      <c r="O833" s="413"/>
      <c r="P833" s="413"/>
      <c r="Q833" s="413"/>
      <c r="R833" s="413"/>
      <c r="S833" s="413"/>
      <c r="T833" s="413"/>
      <c r="U833" s="413"/>
      <c r="V833" s="413"/>
      <c r="W833" s="413"/>
      <c r="X833" s="413"/>
      <c r="Y833" s="413"/>
      <c r="Z833" s="413"/>
    </row>
    <row r="834">
      <c r="A834" s="452"/>
      <c r="B834" s="439"/>
      <c r="C834" s="454"/>
      <c r="D834" s="454"/>
      <c r="E834" s="439"/>
      <c r="F834" s="439"/>
      <c r="G834" s="454"/>
      <c r="H834" s="454"/>
      <c r="I834" s="456"/>
      <c r="J834" s="459"/>
      <c r="K834" s="458"/>
      <c r="L834" s="454"/>
      <c r="M834" s="453"/>
      <c r="N834" s="413"/>
      <c r="O834" s="413"/>
      <c r="P834" s="413"/>
      <c r="Q834" s="413"/>
      <c r="R834" s="413"/>
      <c r="S834" s="413"/>
      <c r="T834" s="413"/>
      <c r="U834" s="413"/>
      <c r="V834" s="413"/>
      <c r="W834" s="413"/>
      <c r="X834" s="413"/>
      <c r="Y834" s="413"/>
      <c r="Z834" s="413"/>
    </row>
    <row r="835">
      <c r="A835" s="452"/>
      <c r="B835" s="439"/>
      <c r="C835" s="454"/>
      <c r="D835" s="454"/>
      <c r="E835" s="439"/>
      <c r="F835" s="439"/>
      <c r="G835" s="454"/>
      <c r="H835" s="454"/>
      <c r="I835" s="456"/>
      <c r="J835" s="459"/>
      <c r="K835" s="458"/>
      <c r="L835" s="454"/>
      <c r="M835" s="453"/>
      <c r="N835" s="413"/>
      <c r="O835" s="413"/>
      <c r="P835" s="413"/>
      <c r="Q835" s="413"/>
      <c r="R835" s="413"/>
      <c r="S835" s="413"/>
      <c r="T835" s="413"/>
      <c r="U835" s="413"/>
      <c r="V835" s="413"/>
      <c r="W835" s="413"/>
      <c r="X835" s="413"/>
      <c r="Y835" s="413"/>
      <c r="Z835" s="413"/>
    </row>
    <row r="836">
      <c r="A836" s="452"/>
      <c r="B836" s="439"/>
      <c r="C836" s="454"/>
      <c r="D836" s="454"/>
      <c r="E836" s="439"/>
      <c r="F836" s="439"/>
      <c r="G836" s="454"/>
      <c r="H836" s="454"/>
      <c r="I836" s="456"/>
      <c r="J836" s="459"/>
      <c r="K836" s="458"/>
      <c r="L836" s="454"/>
      <c r="M836" s="453"/>
      <c r="N836" s="413"/>
      <c r="O836" s="413"/>
      <c r="P836" s="413"/>
      <c r="Q836" s="413"/>
      <c r="R836" s="413"/>
      <c r="S836" s="413"/>
      <c r="T836" s="413"/>
      <c r="U836" s="413"/>
      <c r="V836" s="413"/>
      <c r="W836" s="413"/>
      <c r="X836" s="413"/>
      <c r="Y836" s="413"/>
      <c r="Z836" s="413"/>
    </row>
    <row r="837">
      <c r="A837" s="452"/>
      <c r="B837" s="439"/>
      <c r="C837" s="454"/>
      <c r="D837" s="454"/>
      <c r="E837" s="439"/>
      <c r="F837" s="439"/>
      <c r="G837" s="454"/>
      <c r="H837" s="454"/>
      <c r="I837" s="456"/>
      <c r="J837" s="459"/>
      <c r="K837" s="458"/>
      <c r="L837" s="454"/>
      <c r="M837" s="453"/>
      <c r="N837" s="413"/>
      <c r="O837" s="413"/>
      <c r="P837" s="413"/>
      <c r="Q837" s="413"/>
      <c r="R837" s="413"/>
      <c r="S837" s="413"/>
      <c r="T837" s="413"/>
      <c r="U837" s="413"/>
      <c r="V837" s="413"/>
      <c r="W837" s="413"/>
      <c r="X837" s="413"/>
      <c r="Y837" s="413"/>
      <c r="Z837" s="413"/>
    </row>
    <row r="838">
      <c r="A838" s="452"/>
      <c r="B838" s="439"/>
      <c r="C838" s="454"/>
      <c r="D838" s="454"/>
      <c r="E838" s="439"/>
      <c r="F838" s="439"/>
      <c r="G838" s="454"/>
      <c r="H838" s="454"/>
      <c r="I838" s="456"/>
      <c r="J838" s="459"/>
      <c r="K838" s="458"/>
      <c r="L838" s="454"/>
      <c r="M838" s="453"/>
      <c r="N838" s="413"/>
      <c r="O838" s="413"/>
      <c r="P838" s="413"/>
      <c r="Q838" s="413"/>
      <c r="R838" s="413"/>
      <c r="S838" s="413"/>
      <c r="T838" s="413"/>
      <c r="U838" s="413"/>
      <c r="V838" s="413"/>
      <c r="W838" s="413"/>
      <c r="X838" s="413"/>
      <c r="Y838" s="413"/>
      <c r="Z838" s="413"/>
    </row>
    <row r="839">
      <c r="A839" s="452"/>
      <c r="B839" s="439"/>
      <c r="C839" s="454"/>
      <c r="D839" s="454"/>
      <c r="E839" s="439"/>
      <c r="F839" s="439"/>
      <c r="G839" s="454"/>
      <c r="H839" s="454"/>
      <c r="I839" s="456"/>
      <c r="J839" s="459"/>
      <c r="K839" s="458"/>
      <c r="L839" s="454"/>
      <c r="M839" s="453"/>
      <c r="N839" s="413"/>
      <c r="O839" s="413"/>
      <c r="P839" s="413"/>
      <c r="Q839" s="413"/>
      <c r="R839" s="413"/>
      <c r="S839" s="413"/>
      <c r="T839" s="413"/>
      <c r="U839" s="413"/>
      <c r="V839" s="413"/>
      <c r="W839" s="413"/>
      <c r="X839" s="413"/>
      <c r="Y839" s="413"/>
      <c r="Z839" s="413"/>
    </row>
    <row r="840">
      <c r="A840" s="452"/>
      <c r="B840" s="439"/>
      <c r="C840" s="454"/>
      <c r="D840" s="454"/>
      <c r="E840" s="439"/>
      <c r="F840" s="439"/>
      <c r="G840" s="454"/>
      <c r="H840" s="454"/>
      <c r="I840" s="456"/>
      <c r="J840" s="459"/>
      <c r="K840" s="458"/>
      <c r="L840" s="454"/>
      <c r="M840" s="453"/>
      <c r="N840" s="413"/>
      <c r="O840" s="413"/>
      <c r="P840" s="413"/>
      <c r="Q840" s="413"/>
      <c r="R840" s="413"/>
      <c r="S840" s="413"/>
      <c r="T840" s="413"/>
      <c r="U840" s="413"/>
      <c r="V840" s="413"/>
      <c r="W840" s="413"/>
      <c r="X840" s="413"/>
      <c r="Y840" s="413"/>
      <c r="Z840" s="413"/>
    </row>
    <row r="841">
      <c r="A841" s="452"/>
      <c r="B841" s="439"/>
      <c r="C841" s="454"/>
      <c r="D841" s="454"/>
      <c r="E841" s="439"/>
      <c r="F841" s="439"/>
      <c r="G841" s="454"/>
      <c r="H841" s="454"/>
      <c r="I841" s="456"/>
      <c r="J841" s="459"/>
      <c r="K841" s="458"/>
      <c r="L841" s="454"/>
      <c r="M841" s="453"/>
      <c r="N841" s="413"/>
      <c r="O841" s="413"/>
      <c r="P841" s="413"/>
      <c r="Q841" s="413"/>
      <c r="R841" s="413"/>
      <c r="S841" s="413"/>
      <c r="T841" s="413"/>
      <c r="U841" s="413"/>
      <c r="V841" s="413"/>
      <c r="W841" s="413"/>
      <c r="X841" s="413"/>
      <c r="Y841" s="413"/>
      <c r="Z841" s="413"/>
    </row>
    <row r="842">
      <c r="A842" s="452"/>
      <c r="B842" s="439"/>
      <c r="C842" s="454"/>
      <c r="D842" s="454"/>
      <c r="E842" s="439"/>
      <c r="F842" s="439"/>
      <c r="G842" s="454"/>
      <c r="H842" s="454"/>
      <c r="I842" s="456"/>
      <c r="J842" s="459"/>
      <c r="K842" s="458"/>
      <c r="L842" s="454"/>
      <c r="M842" s="453"/>
      <c r="N842" s="413"/>
      <c r="O842" s="413"/>
      <c r="P842" s="413"/>
      <c r="Q842" s="413"/>
      <c r="R842" s="413"/>
      <c r="S842" s="413"/>
      <c r="T842" s="413"/>
      <c r="U842" s="413"/>
      <c r="V842" s="413"/>
      <c r="W842" s="413"/>
      <c r="X842" s="413"/>
      <c r="Y842" s="413"/>
      <c r="Z842" s="413"/>
    </row>
    <row r="843">
      <c r="A843" s="452"/>
      <c r="B843" s="439"/>
      <c r="C843" s="454"/>
      <c r="D843" s="454"/>
      <c r="E843" s="439"/>
      <c r="F843" s="439"/>
      <c r="G843" s="454"/>
      <c r="H843" s="454"/>
      <c r="I843" s="456"/>
      <c r="J843" s="459"/>
      <c r="K843" s="458"/>
      <c r="L843" s="454"/>
      <c r="M843" s="453"/>
      <c r="N843" s="413"/>
      <c r="O843" s="413"/>
      <c r="P843" s="413"/>
      <c r="Q843" s="413"/>
      <c r="R843" s="413"/>
      <c r="S843" s="413"/>
      <c r="T843" s="413"/>
      <c r="U843" s="413"/>
      <c r="V843" s="413"/>
      <c r="W843" s="413"/>
      <c r="X843" s="413"/>
      <c r="Y843" s="413"/>
      <c r="Z843" s="413"/>
    </row>
    <row r="844">
      <c r="A844" s="452"/>
      <c r="B844" s="439"/>
      <c r="C844" s="454"/>
      <c r="D844" s="454"/>
      <c r="E844" s="439"/>
      <c r="F844" s="439"/>
      <c r="G844" s="454"/>
      <c r="H844" s="454"/>
      <c r="I844" s="456"/>
      <c r="J844" s="459"/>
      <c r="K844" s="458"/>
      <c r="L844" s="454"/>
      <c r="M844" s="453"/>
      <c r="N844" s="413"/>
      <c r="O844" s="413"/>
      <c r="P844" s="413"/>
      <c r="Q844" s="413"/>
      <c r="R844" s="413"/>
      <c r="S844" s="413"/>
      <c r="T844" s="413"/>
      <c r="U844" s="413"/>
      <c r="V844" s="413"/>
      <c r="W844" s="413"/>
      <c r="X844" s="413"/>
      <c r="Y844" s="413"/>
      <c r="Z844" s="413"/>
    </row>
    <row r="845">
      <c r="A845" s="452"/>
      <c r="B845" s="439"/>
      <c r="C845" s="454"/>
      <c r="D845" s="454"/>
      <c r="E845" s="439"/>
      <c r="F845" s="439"/>
      <c r="G845" s="454"/>
      <c r="H845" s="454"/>
      <c r="I845" s="456"/>
      <c r="J845" s="459"/>
      <c r="K845" s="458"/>
      <c r="L845" s="454"/>
      <c r="M845" s="453"/>
      <c r="N845" s="413"/>
      <c r="O845" s="413"/>
      <c r="P845" s="413"/>
      <c r="Q845" s="413"/>
      <c r="R845" s="413"/>
      <c r="S845" s="413"/>
      <c r="T845" s="413"/>
      <c r="U845" s="413"/>
      <c r="V845" s="413"/>
      <c r="W845" s="413"/>
      <c r="X845" s="413"/>
      <c r="Y845" s="413"/>
      <c r="Z845" s="413"/>
    </row>
    <row r="846">
      <c r="A846" s="452"/>
      <c r="B846" s="439"/>
      <c r="C846" s="454"/>
      <c r="D846" s="454"/>
      <c r="E846" s="439"/>
      <c r="F846" s="439"/>
      <c r="G846" s="454"/>
      <c r="H846" s="454"/>
      <c r="I846" s="456"/>
      <c r="J846" s="459"/>
      <c r="K846" s="458"/>
      <c r="L846" s="454"/>
      <c r="M846" s="453"/>
      <c r="N846" s="413"/>
      <c r="O846" s="413"/>
      <c r="P846" s="413"/>
      <c r="Q846" s="413"/>
      <c r="R846" s="413"/>
      <c r="S846" s="413"/>
      <c r="T846" s="413"/>
      <c r="U846" s="413"/>
      <c r="V846" s="413"/>
      <c r="W846" s="413"/>
      <c r="X846" s="413"/>
      <c r="Y846" s="413"/>
      <c r="Z846" s="413"/>
    </row>
    <row r="847">
      <c r="A847" s="452"/>
      <c r="B847" s="439"/>
      <c r="C847" s="454"/>
      <c r="D847" s="454"/>
      <c r="E847" s="439"/>
      <c r="F847" s="439"/>
      <c r="G847" s="454"/>
      <c r="H847" s="454"/>
      <c r="I847" s="456"/>
      <c r="J847" s="459"/>
      <c r="K847" s="458"/>
      <c r="L847" s="454"/>
      <c r="M847" s="453"/>
      <c r="N847" s="413"/>
      <c r="O847" s="413"/>
      <c r="P847" s="413"/>
      <c r="Q847" s="413"/>
      <c r="R847" s="413"/>
      <c r="S847" s="413"/>
      <c r="T847" s="413"/>
      <c r="U847" s="413"/>
      <c r="V847" s="413"/>
      <c r="W847" s="413"/>
      <c r="X847" s="413"/>
      <c r="Y847" s="413"/>
      <c r="Z847" s="413"/>
    </row>
    <row r="848">
      <c r="A848" s="452"/>
      <c r="B848" s="439"/>
      <c r="C848" s="454"/>
      <c r="D848" s="454"/>
      <c r="E848" s="439"/>
      <c r="F848" s="439"/>
      <c r="G848" s="454"/>
      <c r="H848" s="454"/>
      <c r="I848" s="456"/>
      <c r="J848" s="459"/>
      <c r="K848" s="458"/>
      <c r="L848" s="454"/>
      <c r="M848" s="453"/>
      <c r="N848" s="413"/>
      <c r="O848" s="413"/>
      <c r="P848" s="413"/>
      <c r="Q848" s="413"/>
      <c r="R848" s="413"/>
      <c r="S848" s="413"/>
      <c r="T848" s="413"/>
      <c r="U848" s="413"/>
      <c r="V848" s="413"/>
      <c r="W848" s="413"/>
      <c r="X848" s="413"/>
      <c r="Y848" s="413"/>
      <c r="Z848" s="413"/>
    </row>
    <row r="849">
      <c r="A849" s="452"/>
      <c r="B849" s="439"/>
      <c r="C849" s="454"/>
      <c r="D849" s="454"/>
      <c r="E849" s="439"/>
      <c r="F849" s="439"/>
      <c r="G849" s="454"/>
      <c r="H849" s="454"/>
      <c r="I849" s="456"/>
      <c r="J849" s="459"/>
      <c r="K849" s="458"/>
      <c r="L849" s="454"/>
      <c r="M849" s="453"/>
      <c r="N849" s="413"/>
      <c r="O849" s="413"/>
      <c r="P849" s="413"/>
      <c r="Q849" s="413"/>
      <c r="R849" s="413"/>
      <c r="S849" s="413"/>
      <c r="T849" s="413"/>
      <c r="U849" s="413"/>
      <c r="V849" s="413"/>
      <c r="W849" s="413"/>
      <c r="X849" s="413"/>
      <c r="Y849" s="413"/>
      <c r="Z849" s="413"/>
    </row>
    <row r="850">
      <c r="A850" s="452"/>
      <c r="B850" s="439"/>
      <c r="C850" s="454"/>
      <c r="D850" s="454"/>
      <c r="E850" s="439"/>
      <c r="F850" s="439"/>
      <c r="G850" s="454"/>
      <c r="H850" s="454"/>
      <c r="I850" s="456"/>
      <c r="J850" s="459"/>
      <c r="K850" s="458"/>
      <c r="L850" s="454"/>
      <c r="M850" s="453"/>
      <c r="N850" s="413"/>
      <c r="O850" s="413"/>
      <c r="P850" s="413"/>
      <c r="Q850" s="413"/>
      <c r="R850" s="413"/>
      <c r="S850" s="413"/>
      <c r="T850" s="413"/>
      <c r="U850" s="413"/>
      <c r="V850" s="413"/>
      <c r="W850" s="413"/>
      <c r="X850" s="413"/>
      <c r="Y850" s="413"/>
      <c r="Z850" s="413"/>
    </row>
    <row r="851">
      <c r="A851" s="452"/>
      <c r="B851" s="439"/>
      <c r="C851" s="454"/>
      <c r="D851" s="454"/>
      <c r="E851" s="439"/>
      <c r="F851" s="439"/>
      <c r="G851" s="454"/>
      <c r="H851" s="454"/>
      <c r="I851" s="456"/>
      <c r="J851" s="459"/>
      <c r="K851" s="458"/>
      <c r="L851" s="454"/>
      <c r="M851" s="453"/>
      <c r="N851" s="413"/>
      <c r="O851" s="413"/>
      <c r="P851" s="413"/>
      <c r="Q851" s="413"/>
      <c r="R851" s="413"/>
      <c r="S851" s="413"/>
      <c r="T851" s="413"/>
      <c r="U851" s="413"/>
      <c r="V851" s="413"/>
      <c r="W851" s="413"/>
      <c r="X851" s="413"/>
      <c r="Y851" s="413"/>
      <c r="Z851" s="413"/>
    </row>
    <row r="852">
      <c r="A852" s="452"/>
      <c r="B852" s="439"/>
      <c r="C852" s="454"/>
      <c r="D852" s="454"/>
      <c r="E852" s="439"/>
      <c r="F852" s="439"/>
      <c r="G852" s="454"/>
      <c r="H852" s="454"/>
      <c r="I852" s="456"/>
      <c r="J852" s="459"/>
      <c r="K852" s="458"/>
      <c r="L852" s="454"/>
      <c r="M852" s="453"/>
      <c r="N852" s="413"/>
      <c r="O852" s="413"/>
      <c r="P852" s="413"/>
      <c r="Q852" s="413"/>
      <c r="R852" s="413"/>
      <c r="S852" s="413"/>
      <c r="T852" s="413"/>
      <c r="U852" s="413"/>
      <c r="V852" s="413"/>
      <c r="W852" s="413"/>
      <c r="X852" s="413"/>
      <c r="Y852" s="413"/>
      <c r="Z852" s="413"/>
    </row>
    <row r="853">
      <c r="A853" s="452"/>
      <c r="B853" s="439"/>
      <c r="C853" s="454"/>
      <c r="D853" s="454"/>
      <c r="E853" s="439"/>
      <c r="F853" s="439"/>
      <c r="G853" s="454"/>
      <c r="H853" s="454"/>
      <c r="I853" s="456"/>
      <c r="J853" s="459"/>
      <c r="K853" s="458"/>
      <c r="L853" s="454"/>
      <c r="M853" s="453"/>
      <c r="N853" s="413"/>
      <c r="O853" s="413"/>
      <c r="P853" s="413"/>
      <c r="Q853" s="413"/>
      <c r="R853" s="413"/>
      <c r="S853" s="413"/>
      <c r="T853" s="413"/>
      <c r="U853" s="413"/>
      <c r="V853" s="413"/>
      <c r="W853" s="413"/>
      <c r="X853" s="413"/>
      <c r="Y853" s="413"/>
      <c r="Z853" s="413"/>
    </row>
    <row r="854">
      <c r="A854" s="452"/>
      <c r="B854" s="439"/>
      <c r="C854" s="454"/>
      <c r="D854" s="454"/>
      <c r="E854" s="439"/>
      <c r="F854" s="439"/>
      <c r="G854" s="454"/>
      <c r="H854" s="454"/>
      <c r="I854" s="456"/>
      <c r="J854" s="459"/>
      <c r="K854" s="458"/>
      <c r="L854" s="454"/>
      <c r="M854" s="453"/>
      <c r="N854" s="413"/>
      <c r="O854" s="413"/>
      <c r="P854" s="413"/>
      <c r="Q854" s="413"/>
      <c r="R854" s="413"/>
      <c r="S854" s="413"/>
      <c r="T854" s="413"/>
      <c r="U854" s="413"/>
      <c r="V854" s="413"/>
      <c r="W854" s="413"/>
      <c r="X854" s="413"/>
      <c r="Y854" s="413"/>
      <c r="Z854" s="413"/>
    </row>
    <row r="855">
      <c r="A855" s="452"/>
      <c r="B855" s="439"/>
      <c r="C855" s="454"/>
      <c r="D855" s="454"/>
      <c r="E855" s="439"/>
      <c r="F855" s="439"/>
      <c r="G855" s="454"/>
      <c r="H855" s="454"/>
      <c r="I855" s="456"/>
      <c r="J855" s="459"/>
      <c r="K855" s="458"/>
      <c r="L855" s="454"/>
      <c r="M855" s="453"/>
      <c r="N855" s="413"/>
      <c r="O855" s="413"/>
      <c r="P855" s="413"/>
      <c r="Q855" s="413"/>
      <c r="R855" s="413"/>
      <c r="S855" s="413"/>
      <c r="T855" s="413"/>
      <c r="U855" s="413"/>
      <c r="V855" s="413"/>
      <c r="W855" s="413"/>
      <c r="X855" s="413"/>
      <c r="Y855" s="413"/>
      <c r="Z855" s="413"/>
    </row>
    <row r="856">
      <c r="A856" s="452"/>
      <c r="B856" s="439"/>
      <c r="C856" s="454"/>
      <c r="D856" s="454"/>
      <c r="E856" s="439"/>
      <c r="F856" s="439"/>
      <c r="G856" s="454"/>
      <c r="H856" s="454"/>
      <c r="I856" s="456"/>
      <c r="J856" s="459"/>
      <c r="K856" s="458"/>
      <c r="L856" s="454"/>
      <c r="M856" s="453"/>
      <c r="N856" s="413"/>
      <c r="O856" s="413"/>
      <c r="P856" s="413"/>
      <c r="Q856" s="413"/>
      <c r="R856" s="413"/>
      <c r="S856" s="413"/>
      <c r="T856" s="413"/>
      <c r="U856" s="413"/>
      <c r="V856" s="413"/>
      <c r="W856" s="413"/>
      <c r="X856" s="413"/>
      <c r="Y856" s="413"/>
      <c r="Z856" s="413"/>
    </row>
    <row r="857">
      <c r="A857" s="452"/>
      <c r="B857" s="439"/>
      <c r="C857" s="454"/>
      <c r="D857" s="454"/>
      <c r="E857" s="439"/>
      <c r="F857" s="439"/>
      <c r="G857" s="454"/>
      <c r="H857" s="454"/>
      <c r="I857" s="456"/>
      <c r="J857" s="459"/>
      <c r="K857" s="458"/>
      <c r="L857" s="454"/>
      <c r="M857" s="453"/>
      <c r="N857" s="413"/>
      <c r="O857" s="413"/>
      <c r="P857" s="413"/>
      <c r="Q857" s="413"/>
      <c r="R857" s="413"/>
      <c r="S857" s="413"/>
      <c r="T857" s="413"/>
      <c r="U857" s="413"/>
      <c r="V857" s="413"/>
      <c r="W857" s="413"/>
      <c r="X857" s="413"/>
      <c r="Y857" s="413"/>
      <c r="Z857" s="413"/>
    </row>
    <row r="858">
      <c r="A858" s="452"/>
      <c r="B858" s="439"/>
      <c r="C858" s="454"/>
      <c r="D858" s="454"/>
      <c r="E858" s="439"/>
      <c r="F858" s="439"/>
      <c r="G858" s="454"/>
      <c r="H858" s="454"/>
      <c r="I858" s="456"/>
      <c r="J858" s="459"/>
      <c r="K858" s="458"/>
      <c r="L858" s="454"/>
      <c r="M858" s="453"/>
      <c r="N858" s="413"/>
      <c r="O858" s="413"/>
      <c r="P858" s="413"/>
      <c r="Q858" s="413"/>
      <c r="R858" s="413"/>
      <c r="S858" s="413"/>
      <c r="T858" s="413"/>
      <c r="U858" s="413"/>
      <c r="V858" s="413"/>
      <c r="W858" s="413"/>
      <c r="X858" s="413"/>
      <c r="Y858" s="413"/>
      <c r="Z858" s="413"/>
    </row>
    <row r="859">
      <c r="A859" s="452"/>
      <c r="B859" s="439"/>
      <c r="C859" s="454"/>
      <c r="D859" s="454"/>
      <c r="E859" s="439"/>
      <c r="F859" s="439"/>
      <c r="G859" s="454"/>
      <c r="H859" s="454"/>
      <c r="I859" s="456"/>
      <c r="J859" s="459"/>
      <c r="K859" s="458"/>
      <c r="L859" s="454"/>
      <c r="M859" s="453"/>
      <c r="N859" s="413"/>
      <c r="O859" s="413"/>
      <c r="P859" s="413"/>
      <c r="Q859" s="413"/>
      <c r="R859" s="413"/>
      <c r="S859" s="413"/>
      <c r="T859" s="413"/>
      <c r="U859" s="413"/>
      <c r="V859" s="413"/>
      <c r="W859" s="413"/>
      <c r="X859" s="413"/>
      <c r="Y859" s="413"/>
      <c r="Z859" s="413"/>
    </row>
    <row r="860">
      <c r="A860" s="452"/>
      <c r="B860" s="439"/>
      <c r="C860" s="454"/>
      <c r="D860" s="454"/>
      <c r="E860" s="439"/>
      <c r="F860" s="439"/>
      <c r="G860" s="454"/>
      <c r="H860" s="454"/>
      <c r="I860" s="456"/>
      <c r="J860" s="459"/>
      <c r="K860" s="458"/>
      <c r="L860" s="454"/>
      <c r="M860" s="453"/>
      <c r="N860" s="413"/>
      <c r="O860" s="413"/>
      <c r="P860" s="413"/>
      <c r="Q860" s="413"/>
      <c r="R860" s="413"/>
      <c r="S860" s="413"/>
      <c r="T860" s="413"/>
      <c r="U860" s="413"/>
      <c r="V860" s="413"/>
      <c r="W860" s="413"/>
      <c r="X860" s="413"/>
      <c r="Y860" s="413"/>
      <c r="Z860" s="413"/>
    </row>
    <row r="861">
      <c r="A861" s="452"/>
      <c r="B861" s="439"/>
      <c r="C861" s="454"/>
      <c r="D861" s="454"/>
      <c r="E861" s="439"/>
      <c r="F861" s="439"/>
      <c r="G861" s="454"/>
      <c r="H861" s="454"/>
      <c r="I861" s="456"/>
      <c r="J861" s="459"/>
      <c r="K861" s="458"/>
      <c r="L861" s="454"/>
      <c r="M861" s="453"/>
      <c r="N861" s="413"/>
      <c r="O861" s="413"/>
      <c r="P861" s="413"/>
      <c r="Q861" s="413"/>
      <c r="R861" s="413"/>
      <c r="S861" s="413"/>
      <c r="T861" s="413"/>
      <c r="U861" s="413"/>
      <c r="V861" s="413"/>
      <c r="W861" s="413"/>
      <c r="X861" s="413"/>
      <c r="Y861" s="413"/>
      <c r="Z861" s="413"/>
    </row>
    <row r="862">
      <c r="A862" s="452"/>
      <c r="B862" s="439"/>
      <c r="C862" s="454"/>
      <c r="D862" s="454"/>
      <c r="E862" s="439"/>
      <c r="F862" s="439"/>
      <c r="G862" s="454"/>
      <c r="H862" s="454"/>
      <c r="I862" s="456"/>
      <c r="J862" s="459"/>
      <c r="K862" s="458"/>
      <c r="L862" s="454"/>
      <c r="M862" s="453"/>
      <c r="N862" s="413"/>
      <c r="O862" s="413"/>
      <c r="P862" s="413"/>
      <c r="Q862" s="413"/>
      <c r="R862" s="413"/>
      <c r="S862" s="413"/>
      <c r="T862" s="413"/>
      <c r="U862" s="413"/>
      <c r="V862" s="413"/>
      <c r="W862" s="413"/>
      <c r="X862" s="413"/>
      <c r="Y862" s="413"/>
      <c r="Z862" s="413"/>
    </row>
    <row r="863">
      <c r="A863" s="452"/>
      <c r="B863" s="439"/>
      <c r="C863" s="454"/>
      <c r="D863" s="454"/>
      <c r="E863" s="439"/>
      <c r="F863" s="439"/>
      <c r="G863" s="454"/>
      <c r="H863" s="454"/>
      <c r="I863" s="456"/>
      <c r="J863" s="459"/>
      <c r="K863" s="458"/>
      <c r="L863" s="454"/>
      <c r="M863" s="453"/>
      <c r="N863" s="413"/>
      <c r="O863" s="413"/>
      <c r="P863" s="413"/>
      <c r="Q863" s="413"/>
      <c r="R863" s="413"/>
      <c r="S863" s="413"/>
      <c r="T863" s="413"/>
      <c r="U863" s="413"/>
      <c r="V863" s="413"/>
      <c r="W863" s="413"/>
      <c r="X863" s="413"/>
      <c r="Y863" s="413"/>
      <c r="Z863" s="413"/>
    </row>
    <row r="864">
      <c r="A864" s="452"/>
      <c r="B864" s="439"/>
      <c r="C864" s="454"/>
      <c r="D864" s="454"/>
      <c r="E864" s="439"/>
      <c r="F864" s="439"/>
      <c r="G864" s="454"/>
      <c r="H864" s="454"/>
      <c r="I864" s="456"/>
      <c r="J864" s="459"/>
      <c r="K864" s="458"/>
      <c r="L864" s="454"/>
      <c r="M864" s="453"/>
      <c r="N864" s="413"/>
      <c r="O864" s="413"/>
      <c r="P864" s="413"/>
      <c r="Q864" s="413"/>
      <c r="R864" s="413"/>
      <c r="S864" s="413"/>
      <c r="T864" s="413"/>
      <c r="U864" s="413"/>
      <c r="V864" s="413"/>
      <c r="W864" s="413"/>
      <c r="X864" s="413"/>
      <c r="Y864" s="413"/>
      <c r="Z864" s="413"/>
    </row>
    <row r="865">
      <c r="A865" s="452"/>
      <c r="B865" s="439"/>
      <c r="C865" s="454"/>
      <c r="D865" s="454"/>
      <c r="E865" s="439"/>
      <c r="F865" s="439"/>
      <c r="G865" s="454"/>
      <c r="H865" s="454"/>
      <c r="I865" s="456"/>
      <c r="J865" s="459"/>
      <c r="K865" s="458"/>
      <c r="L865" s="454"/>
      <c r="M865" s="453"/>
      <c r="N865" s="413"/>
      <c r="O865" s="413"/>
      <c r="P865" s="413"/>
      <c r="Q865" s="413"/>
      <c r="R865" s="413"/>
      <c r="S865" s="413"/>
      <c r="T865" s="413"/>
      <c r="U865" s="413"/>
      <c r="V865" s="413"/>
      <c r="W865" s="413"/>
      <c r="X865" s="413"/>
      <c r="Y865" s="413"/>
      <c r="Z865" s="413"/>
    </row>
    <row r="866">
      <c r="A866" s="452"/>
      <c r="B866" s="439"/>
      <c r="C866" s="454"/>
      <c r="D866" s="454"/>
      <c r="E866" s="439"/>
      <c r="F866" s="439"/>
      <c r="G866" s="454"/>
      <c r="H866" s="454"/>
      <c r="I866" s="456"/>
      <c r="J866" s="459"/>
      <c r="K866" s="458"/>
      <c r="L866" s="454"/>
      <c r="M866" s="453"/>
      <c r="N866" s="413"/>
      <c r="O866" s="413"/>
      <c r="P866" s="413"/>
      <c r="Q866" s="413"/>
      <c r="R866" s="413"/>
      <c r="S866" s="413"/>
      <c r="T866" s="413"/>
      <c r="U866" s="413"/>
      <c r="V866" s="413"/>
      <c r="W866" s="413"/>
      <c r="X866" s="413"/>
      <c r="Y866" s="413"/>
      <c r="Z866" s="413"/>
    </row>
    <row r="867">
      <c r="A867" s="452"/>
      <c r="B867" s="439"/>
      <c r="C867" s="454"/>
      <c r="D867" s="454"/>
      <c r="E867" s="439"/>
      <c r="F867" s="439"/>
      <c r="G867" s="454"/>
      <c r="H867" s="454"/>
      <c r="I867" s="456"/>
      <c r="J867" s="459"/>
      <c r="K867" s="458"/>
      <c r="L867" s="454"/>
      <c r="M867" s="453"/>
      <c r="N867" s="413"/>
      <c r="O867" s="413"/>
      <c r="P867" s="413"/>
      <c r="Q867" s="413"/>
      <c r="R867" s="413"/>
      <c r="S867" s="413"/>
      <c r="T867" s="413"/>
      <c r="U867" s="413"/>
      <c r="V867" s="413"/>
      <c r="W867" s="413"/>
      <c r="X867" s="413"/>
      <c r="Y867" s="413"/>
      <c r="Z867" s="413"/>
    </row>
    <row r="868">
      <c r="A868" s="452"/>
      <c r="B868" s="439"/>
      <c r="C868" s="454"/>
      <c r="D868" s="454"/>
      <c r="E868" s="439"/>
      <c r="F868" s="439"/>
      <c r="G868" s="454"/>
      <c r="H868" s="454"/>
      <c r="I868" s="456"/>
      <c r="J868" s="459"/>
      <c r="K868" s="458"/>
      <c r="L868" s="454"/>
      <c r="M868" s="453"/>
      <c r="N868" s="413"/>
      <c r="O868" s="413"/>
      <c r="P868" s="413"/>
      <c r="Q868" s="413"/>
      <c r="R868" s="413"/>
      <c r="S868" s="413"/>
      <c r="T868" s="413"/>
      <c r="U868" s="413"/>
      <c r="V868" s="413"/>
      <c r="W868" s="413"/>
      <c r="X868" s="413"/>
      <c r="Y868" s="413"/>
      <c r="Z868" s="413"/>
    </row>
    <row r="869">
      <c r="A869" s="452"/>
      <c r="B869" s="439"/>
      <c r="C869" s="454"/>
      <c r="D869" s="454"/>
      <c r="E869" s="439"/>
      <c r="F869" s="439"/>
      <c r="G869" s="454"/>
      <c r="H869" s="454"/>
      <c r="I869" s="456"/>
      <c r="J869" s="459"/>
      <c r="K869" s="458"/>
      <c r="L869" s="454"/>
      <c r="M869" s="453"/>
      <c r="N869" s="413"/>
      <c r="O869" s="413"/>
      <c r="P869" s="413"/>
      <c r="Q869" s="413"/>
      <c r="R869" s="413"/>
      <c r="S869" s="413"/>
      <c r="T869" s="413"/>
      <c r="U869" s="413"/>
      <c r="V869" s="413"/>
      <c r="W869" s="413"/>
      <c r="X869" s="413"/>
      <c r="Y869" s="413"/>
      <c r="Z869" s="413"/>
    </row>
    <row r="870">
      <c r="A870" s="452"/>
      <c r="B870" s="439"/>
      <c r="C870" s="454"/>
      <c r="D870" s="454"/>
      <c r="E870" s="439"/>
      <c r="F870" s="439"/>
      <c r="G870" s="454"/>
      <c r="H870" s="454"/>
      <c r="I870" s="456"/>
      <c r="J870" s="459"/>
      <c r="K870" s="458"/>
      <c r="L870" s="454"/>
      <c r="M870" s="453"/>
      <c r="N870" s="413"/>
      <c r="O870" s="413"/>
      <c r="P870" s="413"/>
      <c r="Q870" s="413"/>
      <c r="R870" s="413"/>
      <c r="S870" s="413"/>
      <c r="T870" s="413"/>
      <c r="U870" s="413"/>
      <c r="V870" s="413"/>
      <c r="W870" s="413"/>
      <c r="X870" s="413"/>
      <c r="Y870" s="413"/>
      <c r="Z870" s="413"/>
    </row>
    <row r="871">
      <c r="A871" s="452"/>
      <c r="B871" s="439"/>
      <c r="C871" s="454"/>
      <c r="D871" s="454"/>
      <c r="E871" s="439"/>
      <c r="F871" s="439"/>
      <c r="G871" s="454"/>
      <c r="H871" s="454"/>
      <c r="I871" s="456"/>
      <c r="J871" s="459"/>
      <c r="K871" s="458"/>
      <c r="L871" s="454"/>
      <c r="M871" s="453"/>
      <c r="N871" s="413"/>
      <c r="O871" s="413"/>
      <c r="P871" s="413"/>
      <c r="Q871" s="413"/>
      <c r="R871" s="413"/>
      <c r="S871" s="413"/>
      <c r="T871" s="413"/>
      <c r="U871" s="413"/>
      <c r="V871" s="413"/>
      <c r="W871" s="413"/>
      <c r="X871" s="413"/>
      <c r="Y871" s="413"/>
      <c r="Z871" s="413"/>
    </row>
    <row r="872">
      <c r="A872" s="452"/>
      <c r="B872" s="439"/>
      <c r="C872" s="454"/>
      <c r="D872" s="454"/>
      <c r="E872" s="439"/>
      <c r="F872" s="439"/>
      <c r="G872" s="454"/>
      <c r="H872" s="454"/>
      <c r="I872" s="456"/>
      <c r="J872" s="459"/>
      <c r="K872" s="458"/>
      <c r="L872" s="454"/>
      <c r="M872" s="453"/>
      <c r="N872" s="413"/>
      <c r="O872" s="413"/>
      <c r="P872" s="413"/>
      <c r="Q872" s="413"/>
      <c r="R872" s="413"/>
      <c r="S872" s="413"/>
      <c r="T872" s="413"/>
      <c r="U872" s="413"/>
      <c r="V872" s="413"/>
      <c r="W872" s="413"/>
      <c r="X872" s="413"/>
      <c r="Y872" s="413"/>
      <c r="Z872" s="413"/>
    </row>
    <row r="873">
      <c r="A873" s="452"/>
      <c r="B873" s="439"/>
      <c r="C873" s="454"/>
      <c r="D873" s="454"/>
      <c r="E873" s="439"/>
      <c r="F873" s="439"/>
      <c r="G873" s="454"/>
      <c r="H873" s="454"/>
      <c r="I873" s="456"/>
      <c r="J873" s="459"/>
      <c r="K873" s="458"/>
      <c r="L873" s="454"/>
      <c r="M873" s="453"/>
      <c r="N873" s="413"/>
      <c r="O873" s="413"/>
      <c r="P873" s="413"/>
      <c r="Q873" s="413"/>
      <c r="R873" s="413"/>
      <c r="S873" s="413"/>
      <c r="T873" s="413"/>
      <c r="U873" s="413"/>
      <c r="V873" s="413"/>
      <c r="W873" s="413"/>
      <c r="X873" s="413"/>
      <c r="Y873" s="413"/>
      <c r="Z873" s="413"/>
    </row>
    <row r="874">
      <c r="A874" s="452"/>
      <c r="B874" s="439"/>
      <c r="C874" s="454"/>
      <c r="D874" s="454"/>
      <c r="E874" s="439"/>
      <c r="F874" s="439"/>
      <c r="G874" s="454"/>
      <c r="H874" s="454"/>
      <c r="I874" s="456"/>
      <c r="J874" s="459"/>
      <c r="K874" s="458"/>
      <c r="L874" s="454"/>
      <c r="M874" s="453"/>
      <c r="N874" s="413"/>
      <c r="O874" s="413"/>
      <c r="P874" s="413"/>
      <c r="Q874" s="413"/>
      <c r="R874" s="413"/>
      <c r="S874" s="413"/>
      <c r="T874" s="413"/>
      <c r="U874" s="413"/>
      <c r="V874" s="413"/>
      <c r="W874" s="413"/>
      <c r="X874" s="413"/>
      <c r="Y874" s="413"/>
      <c r="Z874" s="413"/>
    </row>
    <row r="875">
      <c r="A875" s="452"/>
      <c r="B875" s="439"/>
      <c r="C875" s="454"/>
      <c r="D875" s="454"/>
      <c r="E875" s="439"/>
      <c r="F875" s="439"/>
      <c r="G875" s="454"/>
      <c r="H875" s="454"/>
      <c r="I875" s="456"/>
      <c r="J875" s="459"/>
      <c r="K875" s="458"/>
      <c r="L875" s="454"/>
      <c r="M875" s="453"/>
      <c r="N875" s="413"/>
      <c r="O875" s="413"/>
      <c r="P875" s="413"/>
      <c r="Q875" s="413"/>
      <c r="R875" s="413"/>
      <c r="S875" s="413"/>
      <c r="T875" s="413"/>
      <c r="U875" s="413"/>
      <c r="V875" s="413"/>
      <c r="W875" s="413"/>
      <c r="X875" s="413"/>
      <c r="Y875" s="413"/>
      <c r="Z875" s="413"/>
    </row>
    <row r="876">
      <c r="A876" s="452"/>
      <c r="B876" s="439"/>
      <c r="C876" s="454"/>
      <c r="D876" s="454"/>
      <c r="E876" s="439"/>
      <c r="F876" s="439"/>
      <c r="G876" s="454"/>
      <c r="H876" s="454"/>
      <c r="I876" s="456"/>
      <c r="J876" s="459"/>
      <c r="K876" s="458"/>
      <c r="L876" s="454"/>
      <c r="M876" s="453"/>
      <c r="N876" s="413"/>
      <c r="O876" s="413"/>
      <c r="P876" s="413"/>
      <c r="Q876" s="413"/>
      <c r="R876" s="413"/>
      <c r="S876" s="413"/>
      <c r="T876" s="413"/>
      <c r="U876" s="413"/>
      <c r="V876" s="413"/>
      <c r="W876" s="413"/>
      <c r="X876" s="413"/>
      <c r="Y876" s="413"/>
      <c r="Z876" s="413"/>
    </row>
    <row r="877">
      <c r="A877" s="452"/>
      <c r="B877" s="439"/>
      <c r="C877" s="454"/>
      <c r="D877" s="454"/>
      <c r="E877" s="439"/>
      <c r="F877" s="439"/>
      <c r="G877" s="454"/>
      <c r="H877" s="454"/>
      <c r="I877" s="456"/>
      <c r="J877" s="459"/>
      <c r="K877" s="458"/>
      <c r="L877" s="454"/>
      <c r="M877" s="453"/>
      <c r="N877" s="413"/>
      <c r="O877" s="413"/>
      <c r="P877" s="413"/>
      <c r="Q877" s="413"/>
      <c r="R877" s="413"/>
      <c r="S877" s="413"/>
      <c r="T877" s="413"/>
      <c r="U877" s="413"/>
      <c r="V877" s="413"/>
      <c r="W877" s="413"/>
      <c r="X877" s="413"/>
      <c r="Y877" s="413"/>
      <c r="Z877" s="413"/>
    </row>
    <row r="878">
      <c r="A878" s="452"/>
      <c r="B878" s="439"/>
      <c r="C878" s="454"/>
      <c r="D878" s="454"/>
      <c r="E878" s="439"/>
      <c r="F878" s="439"/>
      <c r="G878" s="454"/>
      <c r="H878" s="454"/>
      <c r="I878" s="456"/>
      <c r="J878" s="459"/>
      <c r="K878" s="458"/>
      <c r="L878" s="454"/>
      <c r="M878" s="453"/>
      <c r="N878" s="413"/>
      <c r="O878" s="413"/>
      <c r="P878" s="413"/>
      <c r="Q878" s="413"/>
      <c r="R878" s="413"/>
      <c r="S878" s="413"/>
      <c r="T878" s="413"/>
      <c r="U878" s="413"/>
      <c r="V878" s="413"/>
      <c r="W878" s="413"/>
      <c r="X878" s="413"/>
      <c r="Y878" s="413"/>
      <c r="Z878" s="413"/>
    </row>
    <row r="879">
      <c r="A879" s="452"/>
      <c r="B879" s="439"/>
      <c r="C879" s="454"/>
      <c r="D879" s="454"/>
      <c r="E879" s="439"/>
      <c r="F879" s="439"/>
      <c r="G879" s="454"/>
      <c r="H879" s="454"/>
      <c r="I879" s="456"/>
      <c r="J879" s="459"/>
      <c r="K879" s="458"/>
      <c r="L879" s="454"/>
      <c r="M879" s="453"/>
      <c r="N879" s="413"/>
      <c r="O879" s="413"/>
      <c r="P879" s="413"/>
      <c r="Q879" s="413"/>
      <c r="R879" s="413"/>
      <c r="S879" s="413"/>
      <c r="T879" s="413"/>
      <c r="U879" s="413"/>
      <c r="V879" s="413"/>
      <c r="W879" s="413"/>
      <c r="X879" s="413"/>
      <c r="Y879" s="413"/>
      <c r="Z879" s="413"/>
    </row>
    <row r="880">
      <c r="A880" s="452"/>
      <c r="B880" s="439"/>
      <c r="C880" s="454"/>
      <c r="D880" s="454"/>
      <c r="E880" s="439"/>
      <c r="F880" s="439"/>
      <c r="G880" s="454"/>
      <c r="H880" s="454"/>
      <c r="I880" s="456"/>
      <c r="J880" s="459"/>
      <c r="K880" s="458"/>
      <c r="L880" s="454"/>
      <c r="M880" s="453"/>
      <c r="N880" s="413"/>
      <c r="O880" s="413"/>
      <c r="P880" s="413"/>
      <c r="Q880" s="413"/>
      <c r="R880" s="413"/>
      <c r="S880" s="413"/>
      <c r="T880" s="413"/>
      <c r="U880" s="413"/>
      <c r="V880" s="413"/>
      <c r="W880" s="413"/>
      <c r="X880" s="413"/>
      <c r="Y880" s="413"/>
      <c r="Z880" s="413"/>
    </row>
    <row r="881">
      <c r="A881" s="452"/>
      <c r="B881" s="439"/>
      <c r="C881" s="454"/>
      <c r="D881" s="454"/>
      <c r="E881" s="439"/>
      <c r="F881" s="439"/>
      <c r="G881" s="454"/>
      <c r="H881" s="454"/>
      <c r="I881" s="456"/>
      <c r="J881" s="459"/>
      <c r="K881" s="458"/>
      <c r="L881" s="454"/>
      <c r="M881" s="453"/>
      <c r="N881" s="413"/>
      <c r="O881" s="413"/>
      <c r="P881" s="413"/>
      <c r="Q881" s="413"/>
      <c r="R881" s="413"/>
      <c r="S881" s="413"/>
      <c r="T881" s="413"/>
      <c r="U881" s="413"/>
      <c r="V881" s="413"/>
      <c r="W881" s="413"/>
      <c r="X881" s="413"/>
      <c r="Y881" s="413"/>
      <c r="Z881" s="413"/>
    </row>
    <row r="882">
      <c r="A882" s="452"/>
      <c r="B882" s="439"/>
      <c r="C882" s="454"/>
      <c r="D882" s="454"/>
      <c r="E882" s="439"/>
      <c r="F882" s="439"/>
      <c r="G882" s="454"/>
      <c r="H882" s="454"/>
      <c r="I882" s="456"/>
      <c r="J882" s="459"/>
      <c r="K882" s="458"/>
      <c r="L882" s="454"/>
      <c r="M882" s="453"/>
      <c r="N882" s="413"/>
      <c r="O882" s="413"/>
      <c r="P882" s="413"/>
      <c r="Q882" s="413"/>
      <c r="R882" s="413"/>
      <c r="S882" s="413"/>
      <c r="T882" s="413"/>
      <c r="U882" s="413"/>
      <c r="V882" s="413"/>
      <c r="W882" s="413"/>
      <c r="X882" s="413"/>
      <c r="Y882" s="413"/>
      <c r="Z882" s="413"/>
    </row>
    <row r="883">
      <c r="A883" s="452"/>
      <c r="B883" s="439"/>
      <c r="C883" s="454"/>
      <c r="D883" s="454"/>
      <c r="E883" s="439"/>
      <c r="F883" s="439"/>
      <c r="G883" s="454"/>
      <c r="H883" s="454"/>
      <c r="I883" s="456"/>
      <c r="J883" s="459"/>
      <c r="K883" s="458"/>
      <c r="L883" s="454"/>
      <c r="M883" s="453"/>
      <c r="N883" s="413"/>
      <c r="O883" s="413"/>
      <c r="P883" s="413"/>
      <c r="Q883" s="413"/>
      <c r="R883" s="413"/>
      <c r="S883" s="413"/>
      <c r="T883" s="413"/>
      <c r="U883" s="413"/>
      <c r="V883" s="413"/>
      <c r="W883" s="413"/>
      <c r="X883" s="413"/>
      <c r="Y883" s="413"/>
      <c r="Z883" s="413"/>
    </row>
    <row r="884">
      <c r="A884" s="452"/>
      <c r="B884" s="439"/>
      <c r="C884" s="454"/>
      <c r="D884" s="454"/>
      <c r="E884" s="439"/>
      <c r="F884" s="439"/>
      <c r="G884" s="454"/>
      <c r="H884" s="454"/>
      <c r="I884" s="456"/>
      <c r="J884" s="459"/>
      <c r="K884" s="458"/>
      <c r="L884" s="454"/>
      <c r="M884" s="453"/>
      <c r="N884" s="413"/>
      <c r="O884" s="413"/>
      <c r="P884" s="413"/>
      <c r="Q884" s="413"/>
      <c r="R884" s="413"/>
      <c r="S884" s="413"/>
      <c r="T884" s="413"/>
      <c r="U884" s="413"/>
      <c r="V884" s="413"/>
      <c r="W884" s="413"/>
      <c r="X884" s="413"/>
      <c r="Y884" s="413"/>
      <c r="Z884" s="413"/>
    </row>
    <row r="885">
      <c r="A885" s="452"/>
      <c r="B885" s="439"/>
      <c r="C885" s="454"/>
      <c r="D885" s="454"/>
      <c r="E885" s="439"/>
      <c r="F885" s="439"/>
      <c r="G885" s="454"/>
      <c r="H885" s="454"/>
      <c r="I885" s="456"/>
      <c r="J885" s="459"/>
      <c r="K885" s="458"/>
      <c r="L885" s="454"/>
      <c r="M885" s="453"/>
      <c r="N885" s="413"/>
      <c r="O885" s="413"/>
      <c r="P885" s="413"/>
      <c r="Q885" s="413"/>
      <c r="R885" s="413"/>
      <c r="S885" s="413"/>
      <c r="T885" s="413"/>
      <c r="U885" s="413"/>
      <c r="V885" s="413"/>
      <c r="W885" s="413"/>
      <c r="X885" s="413"/>
      <c r="Y885" s="413"/>
      <c r="Z885" s="413"/>
    </row>
    <row r="886">
      <c r="A886" s="452"/>
      <c r="B886" s="439"/>
      <c r="C886" s="454"/>
      <c r="D886" s="454"/>
      <c r="E886" s="439"/>
      <c r="F886" s="439"/>
      <c r="G886" s="454"/>
      <c r="H886" s="454"/>
      <c r="I886" s="456"/>
      <c r="J886" s="459"/>
      <c r="K886" s="458"/>
      <c r="L886" s="454"/>
      <c r="M886" s="453"/>
      <c r="N886" s="413"/>
      <c r="O886" s="413"/>
      <c r="P886" s="413"/>
      <c r="Q886" s="413"/>
      <c r="R886" s="413"/>
      <c r="S886" s="413"/>
      <c r="T886" s="413"/>
      <c r="U886" s="413"/>
      <c r="V886" s="413"/>
      <c r="W886" s="413"/>
      <c r="X886" s="413"/>
      <c r="Y886" s="413"/>
      <c r="Z886" s="413"/>
    </row>
    <row r="887">
      <c r="A887" s="452"/>
      <c r="B887" s="439"/>
      <c r="C887" s="454"/>
      <c r="D887" s="454"/>
      <c r="E887" s="439"/>
      <c r="F887" s="439"/>
      <c r="G887" s="454"/>
      <c r="H887" s="454"/>
      <c r="I887" s="456"/>
      <c r="J887" s="459"/>
      <c r="K887" s="458"/>
      <c r="L887" s="454"/>
      <c r="M887" s="453"/>
      <c r="N887" s="413"/>
      <c r="O887" s="413"/>
      <c r="P887" s="413"/>
      <c r="Q887" s="413"/>
      <c r="R887" s="413"/>
      <c r="S887" s="413"/>
      <c r="T887" s="413"/>
      <c r="U887" s="413"/>
      <c r="V887" s="413"/>
      <c r="W887" s="413"/>
      <c r="X887" s="413"/>
      <c r="Y887" s="413"/>
      <c r="Z887" s="413"/>
    </row>
    <row r="888">
      <c r="A888" s="452"/>
      <c r="B888" s="439"/>
      <c r="C888" s="454"/>
      <c r="D888" s="454"/>
      <c r="E888" s="439"/>
      <c r="F888" s="439"/>
      <c r="G888" s="454"/>
      <c r="H888" s="454"/>
      <c r="I888" s="456"/>
      <c r="J888" s="459"/>
      <c r="K888" s="458"/>
      <c r="L888" s="454"/>
      <c r="M888" s="453"/>
      <c r="N888" s="413"/>
      <c r="O888" s="413"/>
      <c r="P888" s="413"/>
      <c r="Q888" s="413"/>
      <c r="R888" s="413"/>
      <c r="S888" s="413"/>
      <c r="T888" s="413"/>
      <c r="U888" s="413"/>
      <c r="V888" s="413"/>
      <c r="W888" s="413"/>
      <c r="X888" s="413"/>
      <c r="Y888" s="413"/>
      <c r="Z888" s="413"/>
    </row>
    <row r="889">
      <c r="A889" s="452"/>
      <c r="B889" s="439"/>
      <c r="C889" s="454"/>
      <c r="D889" s="454"/>
      <c r="E889" s="439"/>
      <c r="F889" s="439"/>
      <c r="G889" s="454"/>
      <c r="H889" s="454"/>
      <c r="I889" s="456"/>
      <c r="J889" s="459"/>
      <c r="K889" s="458"/>
      <c r="L889" s="454"/>
      <c r="M889" s="453"/>
      <c r="N889" s="413"/>
      <c r="O889" s="413"/>
      <c r="P889" s="413"/>
      <c r="Q889" s="413"/>
      <c r="R889" s="413"/>
      <c r="S889" s="413"/>
      <c r="T889" s="413"/>
      <c r="U889" s="413"/>
      <c r="V889" s="413"/>
      <c r="W889" s="413"/>
      <c r="X889" s="413"/>
      <c r="Y889" s="413"/>
      <c r="Z889" s="413"/>
    </row>
    <row r="890">
      <c r="A890" s="452"/>
      <c r="B890" s="439"/>
      <c r="C890" s="454"/>
      <c r="D890" s="454"/>
      <c r="E890" s="439"/>
      <c r="F890" s="439"/>
      <c r="G890" s="454"/>
      <c r="H890" s="454"/>
      <c r="I890" s="456"/>
      <c r="J890" s="459"/>
      <c r="K890" s="458"/>
      <c r="L890" s="454"/>
      <c r="M890" s="453"/>
      <c r="N890" s="413"/>
      <c r="O890" s="413"/>
      <c r="P890" s="413"/>
      <c r="Q890" s="413"/>
      <c r="R890" s="413"/>
      <c r="S890" s="413"/>
      <c r="T890" s="413"/>
      <c r="U890" s="413"/>
      <c r="V890" s="413"/>
      <c r="W890" s="413"/>
      <c r="X890" s="413"/>
      <c r="Y890" s="413"/>
      <c r="Z890" s="413"/>
    </row>
    <row r="891">
      <c r="A891" s="452"/>
      <c r="B891" s="439"/>
      <c r="C891" s="454"/>
      <c r="D891" s="454"/>
      <c r="E891" s="439"/>
      <c r="F891" s="439"/>
      <c r="G891" s="454"/>
      <c r="H891" s="454"/>
      <c r="I891" s="456"/>
      <c r="J891" s="459"/>
      <c r="K891" s="458"/>
      <c r="L891" s="454"/>
      <c r="M891" s="453"/>
      <c r="N891" s="413"/>
      <c r="O891" s="413"/>
      <c r="P891" s="413"/>
      <c r="Q891" s="413"/>
      <c r="R891" s="413"/>
      <c r="S891" s="413"/>
      <c r="T891" s="413"/>
      <c r="U891" s="413"/>
      <c r="V891" s="413"/>
      <c r="W891" s="413"/>
      <c r="X891" s="413"/>
      <c r="Y891" s="413"/>
      <c r="Z891" s="413"/>
    </row>
    <row r="892">
      <c r="A892" s="452"/>
      <c r="B892" s="439"/>
      <c r="C892" s="454"/>
      <c r="D892" s="454"/>
      <c r="E892" s="439"/>
      <c r="F892" s="439"/>
      <c r="G892" s="454"/>
      <c r="H892" s="454"/>
      <c r="I892" s="456"/>
      <c r="J892" s="459"/>
      <c r="K892" s="458"/>
      <c r="L892" s="454"/>
      <c r="M892" s="453"/>
      <c r="N892" s="413"/>
      <c r="O892" s="413"/>
      <c r="P892" s="413"/>
      <c r="Q892" s="413"/>
      <c r="R892" s="413"/>
      <c r="S892" s="413"/>
      <c r="T892" s="413"/>
      <c r="U892" s="413"/>
      <c r="V892" s="413"/>
      <c r="W892" s="413"/>
      <c r="X892" s="413"/>
      <c r="Y892" s="413"/>
      <c r="Z892" s="413"/>
    </row>
    <row r="893">
      <c r="A893" s="452"/>
      <c r="B893" s="439"/>
      <c r="C893" s="454"/>
      <c r="D893" s="454"/>
      <c r="E893" s="439"/>
      <c r="F893" s="439"/>
      <c r="G893" s="454"/>
      <c r="H893" s="454"/>
      <c r="I893" s="456"/>
      <c r="J893" s="459"/>
      <c r="K893" s="458"/>
      <c r="L893" s="454"/>
      <c r="M893" s="453"/>
      <c r="N893" s="413"/>
      <c r="O893" s="413"/>
      <c r="P893" s="413"/>
      <c r="Q893" s="413"/>
      <c r="R893" s="413"/>
      <c r="S893" s="413"/>
      <c r="T893" s="413"/>
      <c r="U893" s="413"/>
      <c r="V893" s="413"/>
      <c r="W893" s="413"/>
      <c r="X893" s="413"/>
      <c r="Y893" s="413"/>
      <c r="Z893" s="413"/>
    </row>
    <row r="894">
      <c r="A894" s="452"/>
      <c r="B894" s="439"/>
      <c r="C894" s="454"/>
      <c r="D894" s="454"/>
      <c r="E894" s="439"/>
      <c r="F894" s="439"/>
      <c r="G894" s="454"/>
      <c r="H894" s="454"/>
      <c r="I894" s="456"/>
      <c r="J894" s="459"/>
      <c r="K894" s="458"/>
      <c r="L894" s="454"/>
      <c r="M894" s="453"/>
      <c r="N894" s="413"/>
      <c r="O894" s="413"/>
      <c r="P894" s="413"/>
      <c r="Q894" s="413"/>
      <c r="R894" s="413"/>
      <c r="S894" s="413"/>
      <c r="T894" s="413"/>
      <c r="U894" s="413"/>
      <c r="V894" s="413"/>
      <c r="W894" s="413"/>
      <c r="X894" s="413"/>
      <c r="Y894" s="413"/>
      <c r="Z894" s="413"/>
    </row>
    <row r="895">
      <c r="A895" s="452"/>
      <c r="B895" s="439"/>
      <c r="C895" s="454"/>
      <c r="D895" s="454"/>
      <c r="E895" s="439"/>
      <c r="F895" s="439"/>
      <c r="G895" s="454"/>
      <c r="H895" s="454"/>
      <c r="I895" s="456"/>
      <c r="J895" s="459"/>
      <c r="K895" s="458"/>
      <c r="L895" s="454"/>
      <c r="M895" s="453"/>
      <c r="N895" s="413"/>
      <c r="O895" s="413"/>
      <c r="P895" s="413"/>
      <c r="Q895" s="413"/>
      <c r="R895" s="413"/>
      <c r="S895" s="413"/>
      <c r="T895" s="413"/>
      <c r="U895" s="413"/>
      <c r="V895" s="413"/>
      <c r="W895" s="413"/>
      <c r="X895" s="413"/>
      <c r="Y895" s="413"/>
      <c r="Z895" s="413"/>
    </row>
    <row r="896">
      <c r="A896" s="452"/>
      <c r="B896" s="439"/>
      <c r="C896" s="454"/>
      <c r="D896" s="454"/>
      <c r="E896" s="439"/>
      <c r="F896" s="439"/>
      <c r="G896" s="454"/>
      <c r="H896" s="454"/>
      <c r="I896" s="456"/>
      <c r="J896" s="459"/>
      <c r="K896" s="458"/>
      <c r="L896" s="454"/>
      <c r="M896" s="453"/>
      <c r="N896" s="413"/>
      <c r="O896" s="413"/>
      <c r="P896" s="413"/>
      <c r="Q896" s="413"/>
      <c r="R896" s="413"/>
      <c r="S896" s="413"/>
      <c r="T896" s="413"/>
      <c r="U896" s="413"/>
      <c r="V896" s="413"/>
      <c r="W896" s="413"/>
      <c r="X896" s="413"/>
      <c r="Y896" s="413"/>
      <c r="Z896" s="413"/>
    </row>
    <row r="897">
      <c r="A897" s="452"/>
      <c r="B897" s="439"/>
      <c r="C897" s="454"/>
      <c r="D897" s="454"/>
      <c r="E897" s="439"/>
      <c r="F897" s="439"/>
      <c r="G897" s="454"/>
      <c r="H897" s="454"/>
      <c r="I897" s="456"/>
      <c r="J897" s="459"/>
      <c r="K897" s="458"/>
      <c r="L897" s="454"/>
      <c r="M897" s="453"/>
      <c r="N897" s="413"/>
      <c r="O897" s="413"/>
      <c r="P897" s="413"/>
      <c r="Q897" s="413"/>
      <c r="R897" s="413"/>
      <c r="S897" s="413"/>
      <c r="T897" s="413"/>
      <c r="U897" s="413"/>
      <c r="V897" s="413"/>
      <c r="W897" s="413"/>
      <c r="X897" s="413"/>
      <c r="Y897" s="413"/>
      <c r="Z897" s="413"/>
    </row>
    <row r="898">
      <c r="A898" s="452"/>
      <c r="B898" s="439"/>
      <c r="C898" s="454"/>
      <c r="D898" s="454"/>
      <c r="E898" s="439"/>
      <c r="F898" s="439"/>
      <c r="G898" s="454"/>
      <c r="H898" s="454"/>
      <c r="I898" s="456"/>
      <c r="J898" s="459"/>
      <c r="K898" s="458"/>
      <c r="L898" s="454"/>
      <c r="M898" s="453"/>
      <c r="N898" s="413"/>
      <c r="O898" s="413"/>
      <c r="P898" s="413"/>
      <c r="Q898" s="413"/>
      <c r="R898" s="413"/>
      <c r="S898" s="413"/>
      <c r="T898" s="413"/>
      <c r="U898" s="413"/>
      <c r="V898" s="413"/>
      <c r="W898" s="413"/>
      <c r="X898" s="413"/>
      <c r="Y898" s="413"/>
      <c r="Z898" s="413"/>
    </row>
    <row r="899">
      <c r="A899" s="452"/>
      <c r="B899" s="439"/>
      <c r="C899" s="454"/>
      <c r="D899" s="454"/>
      <c r="E899" s="439"/>
      <c r="F899" s="439"/>
      <c r="G899" s="454"/>
      <c r="H899" s="454"/>
      <c r="I899" s="456"/>
      <c r="J899" s="459"/>
      <c r="K899" s="458"/>
      <c r="L899" s="454"/>
      <c r="M899" s="453"/>
      <c r="N899" s="413"/>
      <c r="O899" s="413"/>
      <c r="P899" s="413"/>
      <c r="Q899" s="413"/>
      <c r="R899" s="413"/>
      <c r="S899" s="413"/>
      <c r="T899" s="413"/>
      <c r="U899" s="413"/>
      <c r="V899" s="413"/>
      <c r="W899" s="413"/>
      <c r="X899" s="413"/>
      <c r="Y899" s="413"/>
      <c r="Z899" s="413"/>
    </row>
    <row r="900">
      <c r="A900" s="452"/>
      <c r="B900" s="439"/>
      <c r="C900" s="454"/>
      <c r="D900" s="454"/>
      <c r="E900" s="439"/>
      <c r="F900" s="439"/>
      <c r="G900" s="454"/>
      <c r="H900" s="454"/>
      <c r="I900" s="456"/>
      <c r="J900" s="459"/>
      <c r="K900" s="458"/>
      <c r="L900" s="454"/>
      <c r="M900" s="453"/>
      <c r="N900" s="413"/>
      <c r="O900" s="413"/>
      <c r="P900" s="413"/>
      <c r="Q900" s="413"/>
      <c r="R900" s="413"/>
      <c r="S900" s="413"/>
      <c r="T900" s="413"/>
      <c r="U900" s="413"/>
      <c r="V900" s="413"/>
      <c r="W900" s="413"/>
      <c r="X900" s="413"/>
      <c r="Y900" s="413"/>
      <c r="Z900" s="413"/>
    </row>
    <row r="901">
      <c r="A901" s="452"/>
      <c r="B901" s="439"/>
      <c r="C901" s="454"/>
      <c r="D901" s="454"/>
      <c r="E901" s="439"/>
      <c r="F901" s="439"/>
      <c r="G901" s="454"/>
      <c r="H901" s="454"/>
      <c r="I901" s="456"/>
      <c r="J901" s="459"/>
      <c r="K901" s="458"/>
      <c r="L901" s="454"/>
      <c r="M901" s="453"/>
      <c r="N901" s="413"/>
      <c r="O901" s="413"/>
      <c r="P901" s="413"/>
      <c r="Q901" s="413"/>
      <c r="R901" s="413"/>
      <c r="S901" s="413"/>
      <c r="T901" s="413"/>
      <c r="U901" s="413"/>
      <c r="V901" s="413"/>
      <c r="W901" s="413"/>
      <c r="X901" s="413"/>
      <c r="Y901" s="413"/>
      <c r="Z901" s="413"/>
    </row>
    <row r="902">
      <c r="A902" s="452"/>
      <c r="B902" s="439"/>
      <c r="C902" s="454"/>
      <c r="D902" s="454"/>
      <c r="E902" s="439"/>
      <c r="F902" s="439"/>
      <c r="G902" s="454"/>
      <c r="H902" s="454"/>
      <c r="I902" s="456"/>
      <c r="J902" s="459"/>
      <c r="K902" s="458"/>
      <c r="L902" s="454"/>
      <c r="M902" s="453"/>
      <c r="N902" s="413"/>
      <c r="O902" s="413"/>
      <c r="P902" s="413"/>
      <c r="Q902" s="413"/>
      <c r="R902" s="413"/>
      <c r="S902" s="413"/>
      <c r="T902" s="413"/>
      <c r="U902" s="413"/>
      <c r="V902" s="413"/>
      <c r="W902" s="413"/>
      <c r="X902" s="413"/>
      <c r="Y902" s="413"/>
      <c r="Z902" s="413"/>
    </row>
    <row r="903">
      <c r="A903" s="452"/>
      <c r="B903" s="439"/>
      <c r="C903" s="454"/>
      <c r="D903" s="454"/>
      <c r="E903" s="439"/>
      <c r="F903" s="439"/>
      <c r="G903" s="454"/>
      <c r="H903" s="454"/>
      <c r="I903" s="456"/>
      <c r="J903" s="459"/>
      <c r="K903" s="458"/>
      <c r="L903" s="454"/>
      <c r="M903" s="453"/>
      <c r="N903" s="413"/>
      <c r="O903" s="413"/>
      <c r="P903" s="413"/>
      <c r="Q903" s="413"/>
      <c r="R903" s="413"/>
      <c r="S903" s="413"/>
      <c r="T903" s="413"/>
      <c r="U903" s="413"/>
      <c r="V903" s="413"/>
      <c r="W903" s="413"/>
      <c r="X903" s="413"/>
      <c r="Y903" s="413"/>
      <c r="Z903" s="413"/>
    </row>
    <row r="904">
      <c r="A904" s="452"/>
      <c r="B904" s="439"/>
      <c r="C904" s="454"/>
      <c r="D904" s="454"/>
      <c r="E904" s="439"/>
      <c r="F904" s="439"/>
      <c r="G904" s="454"/>
      <c r="H904" s="454"/>
      <c r="I904" s="456"/>
      <c r="J904" s="459"/>
      <c r="K904" s="458"/>
      <c r="L904" s="454"/>
      <c r="M904" s="453"/>
      <c r="N904" s="413"/>
      <c r="O904" s="413"/>
      <c r="P904" s="413"/>
      <c r="Q904" s="413"/>
      <c r="R904" s="413"/>
      <c r="S904" s="413"/>
      <c r="T904" s="413"/>
      <c r="U904" s="413"/>
      <c r="V904" s="413"/>
      <c r="W904" s="413"/>
      <c r="X904" s="413"/>
      <c r="Y904" s="413"/>
      <c r="Z904" s="413"/>
    </row>
    <row r="905">
      <c r="A905" s="452"/>
      <c r="B905" s="439"/>
      <c r="C905" s="454"/>
      <c r="D905" s="454"/>
      <c r="E905" s="439"/>
      <c r="F905" s="439"/>
      <c r="G905" s="454"/>
      <c r="H905" s="454"/>
      <c r="I905" s="456"/>
      <c r="J905" s="459"/>
      <c r="K905" s="458"/>
      <c r="L905" s="454"/>
      <c r="M905" s="453"/>
      <c r="N905" s="413"/>
      <c r="O905" s="413"/>
      <c r="P905" s="413"/>
      <c r="Q905" s="413"/>
      <c r="R905" s="413"/>
      <c r="S905" s="413"/>
      <c r="T905" s="413"/>
      <c r="U905" s="413"/>
      <c r="V905" s="413"/>
      <c r="W905" s="413"/>
      <c r="X905" s="413"/>
      <c r="Y905" s="413"/>
      <c r="Z905" s="413"/>
    </row>
    <row r="906">
      <c r="A906" s="452"/>
      <c r="B906" s="439"/>
      <c r="C906" s="454"/>
      <c r="D906" s="454"/>
      <c r="E906" s="439"/>
      <c r="F906" s="439"/>
      <c r="G906" s="454"/>
      <c r="H906" s="454"/>
      <c r="I906" s="456"/>
      <c r="J906" s="459"/>
      <c r="K906" s="458"/>
      <c r="L906" s="454"/>
      <c r="M906" s="453"/>
      <c r="N906" s="413"/>
      <c r="O906" s="413"/>
      <c r="P906" s="413"/>
      <c r="Q906" s="413"/>
      <c r="R906" s="413"/>
      <c r="S906" s="413"/>
      <c r="T906" s="413"/>
      <c r="U906" s="413"/>
      <c r="V906" s="413"/>
      <c r="W906" s="413"/>
      <c r="X906" s="413"/>
      <c r="Y906" s="413"/>
      <c r="Z906" s="413"/>
    </row>
    <row r="907">
      <c r="A907" s="452"/>
      <c r="B907" s="439"/>
      <c r="C907" s="454"/>
      <c r="D907" s="454"/>
      <c r="E907" s="439"/>
      <c r="F907" s="439"/>
      <c r="G907" s="454"/>
      <c r="H907" s="454"/>
      <c r="I907" s="456"/>
      <c r="J907" s="459"/>
      <c r="K907" s="458"/>
      <c r="L907" s="454"/>
      <c r="M907" s="453"/>
      <c r="N907" s="413"/>
      <c r="O907" s="413"/>
      <c r="P907" s="413"/>
      <c r="Q907" s="413"/>
      <c r="R907" s="413"/>
      <c r="S907" s="413"/>
      <c r="T907" s="413"/>
      <c r="U907" s="413"/>
      <c r="V907" s="413"/>
      <c r="W907" s="413"/>
      <c r="X907" s="413"/>
      <c r="Y907" s="413"/>
      <c r="Z907" s="413"/>
    </row>
    <row r="908">
      <c r="A908" s="452"/>
      <c r="B908" s="439"/>
      <c r="C908" s="454"/>
      <c r="D908" s="454"/>
      <c r="E908" s="439"/>
      <c r="F908" s="439"/>
      <c r="G908" s="454"/>
      <c r="H908" s="454"/>
      <c r="I908" s="456"/>
      <c r="J908" s="459"/>
      <c r="K908" s="458"/>
      <c r="L908" s="454"/>
      <c r="M908" s="453"/>
      <c r="N908" s="413"/>
      <c r="O908" s="413"/>
      <c r="P908" s="413"/>
      <c r="Q908" s="413"/>
      <c r="R908" s="413"/>
      <c r="S908" s="413"/>
      <c r="T908" s="413"/>
      <c r="U908" s="413"/>
      <c r="V908" s="413"/>
      <c r="W908" s="413"/>
      <c r="X908" s="413"/>
      <c r="Y908" s="413"/>
      <c r="Z908" s="413"/>
    </row>
    <row r="909">
      <c r="A909" s="452"/>
      <c r="B909" s="439"/>
      <c r="C909" s="454"/>
      <c r="D909" s="454"/>
      <c r="E909" s="439"/>
      <c r="F909" s="439"/>
      <c r="G909" s="454"/>
      <c r="H909" s="454"/>
      <c r="I909" s="456"/>
      <c r="J909" s="459"/>
      <c r="K909" s="458"/>
      <c r="L909" s="454"/>
      <c r="M909" s="453"/>
      <c r="N909" s="413"/>
      <c r="O909" s="413"/>
      <c r="P909" s="413"/>
      <c r="Q909" s="413"/>
      <c r="R909" s="413"/>
      <c r="S909" s="413"/>
      <c r="T909" s="413"/>
      <c r="U909" s="413"/>
      <c r="V909" s="413"/>
      <c r="W909" s="413"/>
      <c r="X909" s="413"/>
      <c r="Y909" s="413"/>
      <c r="Z909" s="413"/>
    </row>
    <row r="910">
      <c r="A910" s="452"/>
      <c r="B910" s="439"/>
      <c r="C910" s="454"/>
      <c r="D910" s="454"/>
      <c r="E910" s="439"/>
      <c r="F910" s="439"/>
      <c r="G910" s="454"/>
      <c r="H910" s="454"/>
      <c r="I910" s="456"/>
      <c r="J910" s="459"/>
      <c r="K910" s="458"/>
      <c r="L910" s="454"/>
      <c r="M910" s="453"/>
      <c r="N910" s="413"/>
      <c r="O910" s="413"/>
      <c r="P910" s="413"/>
      <c r="Q910" s="413"/>
      <c r="R910" s="413"/>
      <c r="S910" s="413"/>
      <c r="T910" s="413"/>
      <c r="U910" s="413"/>
      <c r="V910" s="413"/>
      <c r="W910" s="413"/>
      <c r="X910" s="413"/>
      <c r="Y910" s="413"/>
      <c r="Z910" s="413"/>
    </row>
    <row r="911">
      <c r="A911" s="452"/>
      <c r="B911" s="439"/>
      <c r="C911" s="454"/>
      <c r="D911" s="454"/>
      <c r="E911" s="439"/>
      <c r="F911" s="439"/>
      <c r="G911" s="454"/>
      <c r="H911" s="454"/>
      <c r="I911" s="456"/>
      <c r="J911" s="459"/>
      <c r="K911" s="458"/>
      <c r="L911" s="454"/>
      <c r="M911" s="453"/>
      <c r="N911" s="413"/>
      <c r="O911" s="413"/>
      <c r="P911" s="413"/>
      <c r="Q911" s="413"/>
      <c r="R911" s="413"/>
      <c r="S911" s="413"/>
      <c r="T911" s="413"/>
      <c r="U911" s="413"/>
      <c r="V911" s="413"/>
      <c r="W911" s="413"/>
      <c r="X911" s="413"/>
      <c r="Y911" s="413"/>
      <c r="Z911" s="413"/>
    </row>
    <row r="912">
      <c r="A912" s="452"/>
      <c r="B912" s="439"/>
      <c r="C912" s="454"/>
      <c r="D912" s="454"/>
      <c r="E912" s="439"/>
      <c r="F912" s="439"/>
      <c r="G912" s="454"/>
      <c r="H912" s="454"/>
      <c r="I912" s="456"/>
      <c r="J912" s="459"/>
      <c r="K912" s="458"/>
      <c r="L912" s="454"/>
      <c r="M912" s="453"/>
      <c r="N912" s="413"/>
      <c r="O912" s="413"/>
      <c r="P912" s="413"/>
      <c r="Q912" s="413"/>
      <c r="R912" s="413"/>
      <c r="S912" s="413"/>
      <c r="T912" s="413"/>
      <c r="U912" s="413"/>
      <c r="V912" s="413"/>
      <c r="W912" s="413"/>
      <c r="X912" s="413"/>
      <c r="Y912" s="413"/>
      <c r="Z912" s="413"/>
    </row>
    <row r="913">
      <c r="A913" s="452"/>
      <c r="B913" s="439"/>
      <c r="C913" s="454"/>
      <c r="D913" s="454"/>
      <c r="E913" s="439"/>
      <c r="F913" s="439"/>
      <c r="G913" s="454"/>
      <c r="H913" s="454"/>
      <c r="I913" s="456"/>
      <c r="J913" s="459"/>
      <c r="K913" s="458"/>
      <c r="L913" s="454"/>
      <c r="M913" s="453"/>
      <c r="N913" s="413"/>
      <c r="O913" s="413"/>
      <c r="P913" s="413"/>
      <c r="Q913" s="413"/>
      <c r="R913" s="413"/>
      <c r="S913" s="413"/>
      <c r="T913" s="413"/>
      <c r="U913" s="413"/>
      <c r="V913" s="413"/>
      <c r="W913" s="413"/>
      <c r="X913" s="413"/>
      <c r="Y913" s="413"/>
      <c r="Z913" s="413"/>
    </row>
    <row r="914">
      <c r="A914" s="452"/>
      <c r="B914" s="439"/>
      <c r="C914" s="454"/>
      <c r="D914" s="454"/>
      <c r="E914" s="439"/>
      <c r="F914" s="439"/>
      <c r="G914" s="454"/>
      <c r="H914" s="454"/>
      <c r="I914" s="456"/>
      <c r="J914" s="459"/>
      <c r="K914" s="458"/>
      <c r="L914" s="454"/>
      <c r="M914" s="453"/>
      <c r="N914" s="413"/>
      <c r="O914" s="413"/>
      <c r="P914" s="413"/>
      <c r="Q914" s="413"/>
      <c r="R914" s="413"/>
      <c r="S914" s="413"/>
      <c r="T914" s="413"/>
      <c r="U914" s="413"/>
      <c r="V914" s="413"/>
      <c r="W914" s="413"/>
      <c r="X914" s="413"/>
      <c r="Y914" s="413"/>
      <c r="Z914" s="413"/>
    </row>
    <row r="915">
      <c r="A915" s="452"/>
      <c r="B915" s="439"/>
      <c r="C915" s="454"/>
      <c r="D915" s="454"/>
      <c r="E915" s="439"/>
      <c r="F915" s="439"/>
      <c r="G915" s="454"/>
      <c r="H915" s="454"/>
      <c r="I915" s="456"/>
      <c r="J915" s="459"/>
      <c r="K915" s="458"/>
      <c r="L915" s="454"/>
      <c r="M915" s="453"/>
      <c r="N915" s="413"/>
      <c r="O915" s="413"/>
      <c r="P915" s="413"/>
      <c r="Q915" s="413"/>
      <c r="R915" s="413"/>
      <c r="S915" s="413"/>
      <c r="T915" s="413"/>
      <c r="U915" s="413"/>
      <c r="V915" s="413"/>
      <c r="W915" s="413"/>
      <c r="X915" s="413"/>
      <c r="Y915" s="413"/>
      <c r="Z915" s="413"/>
    </row>
    <row r="916">
      <c r="A916" s="452"/>
      <c r="B916" s="439"/>
      <c r="C916" s="454"/>
      <c r="D916" s="454"/>
      <c r="E916" s="439"/>
      <c r="F916" s="439"/>
      <c r="G916" s="454"/>
      <c r="H916" s="454"/>
      <c r="I916" s="456"/>
      <c r="J916" s="459"/>
      <c r="K916" s="458"/>
      <c r="L916" s="454"/>
      <c r="M916" s="453"/>
      <c r="N916" s="413"/>
      <c r="O916" s="413"/>
      <c r="P916" s="413"/>
      <c r="Q916" s="413"/>
      <c r="R916" s="413"/>
      <c r="S916" s="413"/>
      <c r="T916" s="413"/>
      <c r="U916" s="413"/>
      <c r="V916" s="413"/>
      <c r="W916" s="413"/>
      <c r="X916" s="413"/>
      <c r="Y916" s="413"/>
      <c r="Z916" s="413"/>
    </row>
    <row r="917">
      <c r="A917" s="452"/>
      <c r="B917" s="439"/>
      <c r="C917" s="454"/>
      <c r="D917" s="454"/>
      <c r="E917" s="439"/>
      <c r="F917" s="439"/>
      <c r="G917" s="454"/>
      <c r="H917" s="454"/>
      <c r="I917" s="456"/>
      <c r="J917" s="459"/>
      <c r="K917" s="458"/>
      <c r="L917" s="454"/>
      <c r="M917" s="453"/>
      <c r="N917" s="413"/>
      <c r="O917" s="413"/>
      <c r="P917" s="413"/>
      <c r="Q917" s="413"/>
      <c r="R917" s="413"/>
      <c r="S917" s="413"/>
      <c r="T917" s="413"/>
      <c r="U917" s="413"/>
      <c r="V917" s="413"/>
      <c r="W917" s="413"/>
      <c r="X917" s="413"/>
      <c r="Y917" s="413"/>
      <c r="Z917" s="413"/>
    </row>
    <row r="918">
      <c r="A918" s="452"/>
      <c r="B918" s="439"/>
      <c r="C918" s="454"/>
      <c r="D918" s="454"/>
      <c r="E918" s="439"/>
      <c r="F918" s="439"/>
      <c r="G918" s="454"/>
      <c r="H918" s="454"/>
      <c r="I918" s="456"/>
      <c r="J918" s="459"/>
      <c r="K918" s="458"/>
      <c r="L918" s="454"/>
      <c r="M918" s="453"/>
      <c r="N918" s="413"/>
      <c r="O918" s="413"/>
      <c r="P918" s="413"/>
      <c r="Q918" s="413"/>
      <c r="R918" s="413"/>
      <c r="S918" s="413"/>
      <c r="T918" s="413"/>
      <c r="U918" s="413"/>
      <c r="V918" s="413"/>
      <c r="W918" s="413"/>
      <c r="X918" s="413"/>
      <c r="Y918" s="413"/>
      <c r="Z918" s="413"/>
    </row>
    <row r="919">
      <c r="A919" s="452"/>
      <c r="B919" s="439"/>
      <c r="C919" s="454"/>
      <c r="D919" s="454"/>
      <c r="E919" s="439"/>
      <c r="F919" s="439"/>
      <c r="G919" s="454"/>
      <c r="H919" s="454"/>
      <c r="I919" s="456"/>
      <c r="J919" s="459"/>
      <c r="K919" s="458"/>
      <c r="L919" s="454"/>
      <c r="M919" s="453"/>
      <c r="N919" s="413"/>
      <c r="O919" s="413"/>
      <c r="P919" s="413"/>
      <c r="Q919" s="413"/>
      <c r="R919" s="413"/>
      <c r="S919" s="413"/>
      <c r="T919" s="413"/>
      <c r="U919" s="413"/>
      <c r="V919" s="413"/>
      <c r="W919" s="413"/>
      <c r="X919" s="413"/>
      <c r="Y919" s="413"/>
      <c r="Z919" s="413"/>
    </row>
    <row r="920">
      <c r="A920" s="452"/>
      <c r="B920" s="439"/>
      <c r="C920" s="454"/>
      <c r="D920" s="454"/>
      <c r="E920" s="439"/>
      <c r="F920" s="439"/>
      <c r="G920" s="454"/>
      <c r="H920" s="454"/>
      <c r="I920" s="456"/>
      <c r="J920" s="459"/>
      <c r="K920" s="458"/>
      <c r="L920" s="454"/>
      <c r="M920" s="453"/>
      <c r="N920" s="413"/>
      <c r="O920" s="413"/>
      <c r="P920" s="413"/>
      <c r="Q920" s="413"/>
      <c r="R920" s="413"/>
      <c r="S920" s="413"/>
      <c r="T920" s="413"/>
      <c r="U920" s="413"/>
      <c r="V920" s="413"/>
      <c r="W920" s="413"/>
      <c r="X920" s="413"/>
      <c r="Y920" s="413"/>
      <c r="Z920" s="413"/>
    </row>
    <row r="921">
      <c r="A921" s="452"/>
      <c r="B921" s="439"/>
      <c r="C921" s="454"/>
      <c r="D921" s="454"/>
      <c r="E921" s="439"/>
      <c r="F921" s="439"/>
      <c r="G921" s="454"/>
      <c r="H921" s="454"/>
      <c r="I921" s="456"/>
      <c r="J921" s="459"/>
      <c r="K921" s="458"/>
      <c r="L921" s="454"/>
      <c r="M921" s="453"/>
      <c r="N921" s="413"/>
      <c r="O921" s="413"/>
      <c r="P921" s="413"/>
      <c r="Q921" s="413"/>
      <c r="R921" s="413"/>
      <c r="S921" s="413"/>
      <c r="T921" s="413"/>
      <c r="U921" s="413"/>
      <c r="V921" s="413"/>
      <c r="W921" s="413"/>
      <c r="X921" s="413"/>
      <c r="Y921" s="413"/>
      <c r="Z921" s="413"/>
    </row>
    <row r="922">
      <c r="A922" s="452"/>
      <c r="B922" s="439"/>
      <c r="C922" s="454"/>
      <c r="D922" s="454"/>
      <c r="E922" s="439"/>
      <c r="F922" s="439"/>
      <c r="G922" s="454"/>
      <c r="H922" s="454"/>
      <c r="I922" s="456"/>
      <c r="J922" s="459"/>
      <c r="K922" s="458"/>
      <c r="L922" s="454"/>
      <c r="M922" s="453"/>
      <c r="N922" s="413"/>
      <c r="O922" s="413"/>
      <c r="P922" s="413"/>
      <c r="Q922" s="413"/>
      <c r="R922" s="413"/>
      <c r="S922" s="413"/>
      <c r="T922" s="413"/>
      <c r="U922" s="413"/>
      <c r="V922" s="413"/>
      <c r="W922" s="413"/>
      <c r="X922" s="413"/>
      <c r="Y922" s="413"/>
      <c r="Z922" s="413"/>
    </row>
    <row r="923">
      <c r="A923" s="452"/>
      <c r="B923" s="439"/>
      <c r="C923" s="454"/>
      <c r="D923" s="454"/>
      <c r="E923" s="439"/>
      <c r="F923" s="439"/>
      <c r="G923" s="454"/>
      <c r="H923" s="454"/>
      <c r="I923" s="456"/>
      <c r="J923" s="459"/>
      <c r="K923" s="458"/>
      <c r="L923" s="454"/>
      <c r="M923" s="453"/>
      <c r="N923" s="413"/>
      <c r="O923" s="413"/>
      <c r="P923" s="413"/>
      <c r="Q923" s="413"/>
      <c r="R923" s="413"/>
      <c r="S923" s="413"/>
      <c r="T923" s="413"/>
      <c r="U923" s="413"/>
      <c r="V923" s="413"/>
      <c r="W923" s="413"/>
      <c r="X923" s="413"/>
      <c r="Y923" s="413"/>
      <c r="Z923" s="413"/>
    </row>
    <row r="924">
      <c r="A924" s="452"/>
      <c r="B924" s="439"/>
      <c r="C924" s="454"/>
      <c r="D924" s="454"/>
      <c r="E924" s="439"/>
      <c r="F924" s="439"/>
      <c r="G924" s="454"/>
      <c r="H924" s="454"/>
      <c r="I924" s="456"/>
      <c r="J924" s="459"/>
      <c r="K924" s="458"/>
      <c r="L924" s="454"/>
      <c r="M924" s="453"/>
      <c r="N924" s="413"/>
      <c r="O924" s="413"/>
      <c r="P924" s="413"/>
      <c r="Q924" s="413"/>
      <c r="R924" s="413"/>
      <c r="S924" s="413"/>
      <c r="T924" s="413"/>
      <c r="U924" s="413"/>
      <c r="V924" s="413"/>
      <c r="W924" s="413"/>
      <c r="X924" s="413"/>
      <c r="Y924" s="413"/>
      <c r="Z924" s="413"/>
    </row>
    <row r="925">
      <c r="A925" s="452"/>
      <c r="B925" s="439"/>
      <c r="C925" s="454"/>
      <c r="D925" s="454"/>
      <c r="E925" s="439"/>
      <c r="F925" s="439"/>
      <c r="G925" s="454"/>
      <c r="H925" s="454"/>
      <c r="I925" s="456"/>
      <c r="J925" s="459"/>
      <c r="K925" s="458"/>
      <c r="L925" s="454"/>
      <c r="M925" s="453"/>
      <c r="N925" s="413"/>
      <c r="O925" s="413"/>
      <c r="P925" s="413"/>
      <c r="Q925" s="413"/>
      <c r="R925" s="413"/>
      <c r="S925" s="413"/>
      <c r="T925" s="413"/>
      <c r="U925" s="413"/>
      <c r="V925" s="413"/>
      <c r="W925" s="413"/>
      <c r="X925" s="413"/>
      <c r="Y925" s="413"/>
      <c r="Z925" s="413"/>
    </row>
    <row r="926">
      <c r="A926" s="452"/>
      <c r="B926" s="439"/>
      <c r="C926" s="454"/>
      <c r="D926" s="454"/>
      <c r="E926" s="439"/>
      <c r="F926" s="439"/>
      <c r="G926" s="454"/>
      <c r="H926" s="454"/>
      <c r="I926" s="456"/>
      <c r="J926" s="459"/>
      <c r="K926" s="458"/>
      <c r="L926" s="454"/>
      <c r="M926" s="453"/>
      <c r="N926" s="413"/>
      <c r="O926" s="413"/>
      <c r="P926" s="413"/>
      <c r="Q926" s="413"/>
      <c r="R926" s="413"/>
      <c r="S926" s="413"/>
      <c r="T926" s="413"/>
      <c r="U926" s="413"/>
      <c r="V926" s="413"/>
      <c r="W926" s="413"/>
      <c r="X926" s="413"/>
      <c r="Y926" s="413"/>
      <c r="Z926" s="413"/>
    </row>
    <row r="927">
      <c r="A927" s="452"/>
      <c r="B927" s="439"/>
      <c r="C927" s="454"/>
      <c r="D927" s="454"/>
      <c r="E927" s="439"/>
      <c r="F927" s="439"/>
      <c r="G927" s="454"/>
      <c r="H927" s="454"/>
      <c r="I927" s="456"/>
      <c r="J927" s="459"/>
      <c r="K927" s="458"/>
      <c r="L927" s="454"/>
      <c r="M927" s="453"/>
      <c r="N927" s="413"/>
      <c r="O927" s="413"/>
      <c r="P927" s="413"/>
      <c r="Q927" s="413"/>
      <c r="R927" s="413"/>
      <c r="S927" s="413"/>
      <c r="T927" s="413"/>
      <c r="U927" s="413"/>
      <c r="V927" s="413"/>
      <c r="W927" s="413"/>
      <c r="X927" s="413"/>
      <c r="Y927" s="413"/>
      <c r="Z927" s="413"/>
    </row>
    <row r="928">
      <c r="A928" s="452"/>
      <c r="B928" s="439"/>
      <c r="C928" s="454"/>
      <c r="D928" s="454"/>
      <c r="E928" s="439"/>
      <c r="F928" s="439"/>
      <c r="G928" s="454"/>
      <c r="H928" s="454"/>
      <c r="I928" s="456"/>
      <c r="J928" s="459"/>
      <c r="K928" s="458"/>
      <c r="L928" s="454"/>
      <c r="M928" s="453"/>
      <c r="N928" s="413"/>
      <c r="O928" s="413"/>
      <c r="P928" s="413"/>
      <c r="Q928" s="413"/>
      <c r="R928" s="413"/>
      <c r="S928" s="413"/>
      <c r="T928" s="413"/>
      <c r="U928" s="413"/>
      <c r="V928" s="413"/>
      <c r="W928" s="413"/>
      <c r="X928" s="413"/>
      <c r="Y928" s="413"/>
      <c r="Z928" s="413"/>
    </row>
    <row r="929">
      <c r="A929" s="452"/>
      <c r="B929" s="439"/>
      <c r="C929" s="454"/>
      <c r="D929" s="454"/>
      <c r="E929" s="439"/>
      <c r="F929" s="439"/>
      <c r="G929" s="454"/>
      <c r="H929" s="454"/>
      <c r="I929" s="456"/>
      <c r="J929" s="459"/>
      <c r="K929" s="458"/>
      <c r="L929" s="454"/>
      <c r="M929" s="453"/>
      <c r="N929" s="413"/>
      <c r="O929" s="413"/>
      <c r="P929" s="413"/>
      <c r="Q929" s="413"/>
      <c r="R929" s="413"/>
      <c r="S929" s="413"/>
      <c r="T929" s="413"/>
      <c r="U929" s="413"/>
      <c r="V929" s="413"/>
      <c r="W929" s="413"/>
      <c r="X929" s="413"/>
      <c r="Y929" s="413"/>
      <c r="Z929" s="413"/>
    </row>
    <row r="930">
      <c r="A930" s="452"/>
      <c r="B930" s="439"/>
      <c r="C930" s="454"/>
      <c r="D930" s="454"/>
      <c r="E930" s="439"/>
      <c r="F930" s="439"/>
      <c r="G930" s="454"/>
      <c r="H930" s="454"/>
      <c r="I930" s="456"/>
      <c r="J930" s="459"/>
      <c r="K930" s="458"/>
      <c r="L930" s="454"/>
      <c r="M930" s="453"/>
      <c r="N930" s="413"/>
      <c r="O930" s="413"/>
      <c r="P930" s="413"/>
      <c r="Q930" s="413"/>
      <c r="R930" s="413"/>
      <c r="S930" s="413"/>
      <c r="T930" s="413"/>
      <c r="U930" s="413"/>
      <c r="V930" s="413"/>
      <c r="W930" s="413"/>
      <c r="X930" s="413"/>
      <c r="Y930" s="413"/>
      <c r="Z930" s="413"/>
    </row>
    <row r="931">
      <c r="A931" s="452"/>
      <c r="B931" s="439"/>
      <c r="C931" s="454"/>
      <c r="D931" s="454"/>
      <c r="E931" s="439"/>
      <c r="F931" s="439"/>
      <c r="G931" s="454"/>
      <c r="H931" s="454"/>
      <c r="I931" s="456"/>
      <c r="J931" s="459"/>
      <c r="K931" s="458"/>
      <c r="L931" s="454"/>
      <c r="M931" s="453"/>
      <c r="N931" s="413"/>
      <c r="O931" s="413"/>
      <c r="P931" s="413"/>
      <c r="Q931" s="413"/>
      <c r="R931" s="413"/>
      <c r="S931" s="413"/>
      <c r="T931" s="413"/>
      <c r="U931" s="413"/>
      <c r="V931" s="413"/>
      <c r="W931" s="413"/>
      <c r="X931" s="413"/>
      <c r="Y931" s="413"/>
      <c r="Z931" s="413"/>
    </row>
    <row r="932">
      <c r="A932" s="452"/>
      <c r="B932" s="439"/>
      <c r="C932" s="454"/>
      <c r="D932" s="454"/>
      <c r="E932" s="439"/>
      <c r="F932" s="439"/>
      <c r="G932" s="454"/>
      <c r="H932" s="454"/>
      <c r="I932" s="456"/>
      <c r="J932" s="459"/>
      <c r="K932" s="458"/>
      <c r="L932" s="454"/>
      <c r="M932" s="453"/>
      <c r="N932" s="413"/>
      <c r="O932" s="413"/>
      <c r="P932" s="413"/>
      <c r="Q932" s="413"/>
      <c r="R932" s="413"/>
      <c r="S932" s="413"/>
      <c r="T932" s="413"/>
      <c r="U932" s="413"/>
      <c r="V932" s="413"/>
      <c r="W932" s="413"/>
      <c r="X932" s="413"/>
      <c r="Y932" s="413"/>
      <c r="Z932" s="413"/>
    </row>
    <row r="933">
      <c r="A933" s="452"/>
      <c r="B933" s="439"/>
      <c r="C933" s="454"/>
      <c r="D933" s="454"/>
      <c r="E933" s="439"/>
      <c r="F933" s="439"/>
      <c r="G933" s="454"/>
      <c r="H933" s="454"/>
      <c r="I933" s="456"/>
      <c r="J933" s="459"/>
      <c r="K933" s="458"/>
      <c r="L933" s="454"/>
      <c r="M933" s="453"/>
      <c r="N933" s="413"/>
      <c r="O933" s="413"/>
      <c r="P933" s="413"/>
      <c r="Q933" s="413"/>
      <c r="R933" s="413"/>
      <c r="S933" s="413"/>
      <c r="T933" s="413"/>
      <c r="U933" s="413"/>
      <c r="V933" s="413"/>
      <c r="W933" s="413"/>
      <c r="X933" s="413"/>
      <c r="Y933" s="413"/>
      <c r="Z933" s="413"/>
    </row>
    <row r="934">
      <c r="A934" s="452"/>
      <c r="B934" s="439"/>
      <c r="C934" s="454"/>
      <c r="D934" s="454"/>
      <c r="E934" s="439"/>
      <c r="F934" s="439"/>
      <c r="G934" s="454"/>
      <c r="H934" s="454"/>
      <c r="I934" s="456"/>
      <c r="J934" s="459"/>
      <c r="K934" s="458"/>
      <c r="L934" s="454"/>
      <c r="M934" s="453"/>
      <c r="N934" s="413"/>
      <c r="O934" s="413"/>
      <c r="P934" s="413"/>
      <c r="Q934" s="413"/>
      <c r="R934" s="413"/>
      <c r="S934" s="413"/>
      <c r="T934" s="413"/>
      <c r="U934" s="413"/>
      <c r="V934" s="413"/>
      <c r="W934" s="413"/>
      <c r="X934" s="413"/>
      <c r="Y934" s="413"/>
      <c r="Z934" s="413"/>
    </row>
    <row r="935">
      <c r="A935" s="452"/>
      <c r="B935" s="439"/>
      <c r="C935" s="454"/>
      <c r="D935" s="454"/>
      <c r="E935" s="439"/>
      <c r="F935" s="439"/>
      <c r="G935" s="454"/>
      <c r="H935" s="454"/>
      <c r="I935" s="456"/>
      <c r="J935" s="459"/>
      <c r="K935" s="458"/>
      <c r="L935" s="454"/>
      <c r="M935" s="453"/>
      <c r="N935" s="413"/>
      <c r="O935" s="413"/>
      <c r="P935" s="413"/>
      <c r="Q935" s="413"/>
      <c r="R935" s="413"/>
      <c r="S935" s="413"/>
      <c r="T935" s="413"/>
      <c r="U935" s="413"/>
      <c r="V935" s="413"/>
      <c r="W935" s="413"/>
      <c r="X935" s="413"/>
      <c r="Y935" s="413"/>
      <c r="Z935" s="413"/>
    </row>
    <row r="936">
      <c r="A936" s="452"/>
      <c r="B936" s="439"/>
      <c r="C936" s="454"/>
      <c r="D936" s="454"/>
      <c r="E936" s="439"/>
      <c r="F936" s="439"/>
      <c r="G936" s="454"/>
      <c r="H936" s="454"/>
      <c r="I936" s="456"/>
      <c r="J936" s="459"/>
      <c r="K936" s="458"/>
      <c r="L936" s="454"/>
      <c r="M936" s="453"/>
      <c r="N936" s="413"/>
      <c r="O936" s="413"/>
      <c r="P936" s="413"/>
      <c r="Q936" s="413"/>
      <c r="R936" s="413"/>
      <c r="S936" s="413"/>
      <c r="T936" s="413"/>
      <c r="U936" s="413"/>
      <c r="V936" s="413"/>
      <c r="W936" s="413"/>
      <c r="X936" s="413"/>
      <c r="Y936" s="413"/>
      <c r="Z936" s="413"/>
    </row>
    <row r="937">
      <c r="A937" s="452"/>
      <c r="B937" s="439"/>
      <c r="C937" s="454"/>
      <c r="D937" s="454"/>
      <c r="E937" s="439"/>
      <c r="F937" s="439"/>
      <c r="G937" s="454"/>
      <c r="H937" s="454"/>
      <c r="I937" s="456"/>
      <c r="J937" s="459"/>
      <c r="K937" s="458"/>
      <c r="L937" s="454"/>
      <c r="M937" s="453"/>
      <c r="N937" s="413"/>
      <c r="O937" s="413"/>
      <c r="P937" s="413"/>
      <c r="Q937" s="413"/>
      <c r="R937" s="413"/>
      <c r="S937" s="413"/>
      <c r="T937" s="413"/>
      <c r="U937" s="413"/>
      <c r="V937" s="413"/>
      <c r="W937" s="413"/>
      <c r="X937" s="413"/>
      <c r="Y937" s="413"/>
      <c r="Z937" s="413"/>
    </row>
    <row r="938">
      <c r="A938" s="452"/>
      <c r="B938" s="439"/>
      <c r="C938" s="454"/>
      <c r="D938" s="454"/>
      <c r="E938" s="439"/>
      <c r="F938" s="439"/>
      <c r="G938" s="454"/>
      <c r="H938" s="454"/>
      <c r="I938" s="456"/>
      <c r="J938" s="459"/>
      <c r="K938" s="458"/>
      <c r="L938" s="454"/>
      <c r="M938" s="453"/>
      <c r="N938" s="413"/>
      <c r="O938" s="413"/>
      <c r="P938" s="413"/>
      <c r="Q938" s="413"/>
      <c r="R938" s="413"/>
      <c r="S938" s="413"/>
      <c r="T938" s="413"/>
      <c r="U938" s="413"/>
      <c r="V938" s="413"/>
      <c r="W938" s="413"/>
      <c r="X938" s="413"/>
      <c r="Y938" s="413"/>
      <c r="Z938" s="413"/>
    </row>
    <row r="939">
      <c r="A939" s="452"/>
      <c r="B939" s="439"/>
      <c r="C939" s="454"/>
      <c r="D939" s="454"/>
      <c r="E939" s="439"/>
      <c r="F939" s="439"/>
      <c r="G939" s="454"/>
      <c r="H939" s="454"/>
      <c r="I939" s="456"/>
      <c r="J939" s="459"/>
      <c r="K939" s="458"/>
      <c r="L939" s="454"/>
      <c r="M939" s="453"/>
      <c r="N939" s="413"/>
      <c r="O939" s="413"/>
      <c r="P939" s="413"/>
      <c r="Q939" s="413"/>
      <c r="R939" s="413"/>
      <c r="S939" s="413"/>
      <c r="T939" s="413"/>
      <c r="U939" s="413"/>
      <c r="V939" s="413"/>
      <c r="W939" s="413"/>
      <c r="X939" s="413"/>
      <c r="Y939" s="413"/>
      <c r="Z939" s="413"/>
    </row>
    <row r="940">
      <c r="A940" s="452"/>
      <c r="B940" s="439"/>
      <c r="C940" s="454"/>
      <c r="D940" s="454"/>
      <c r="E940" s="439"/>
      <c r="F940" s="439"/>
      <c r="G940" s="454"/>
      <c r="H940" s="454"/>
      <c r="I940" s="456"/>
      <c r="J940" s="459"/>
      <c r="K940" s="458"/>
      <c r="L940" s="454"/>
      <c r="M940" s="453"/>
      <c r="N940" s="413"/>
      <c r="O940" s="413"/>
      <c r="P940" s="413"/>
      <c r="Q940" s="413"/>
      <c r="R940" s="413"/>
      <c r="S940" s="413"/>
      <c r="T940" s="413"/>
      <c r="U940" s="413"/>
      <c r="V940" s="413"/>
      <c r="W940" s="413"/>
      <c r="X940" s="413"/>
      <c r="Y940" s="413"/>
      <c r="Z940" s="413"/>
    </row>
    <row r="941">
      <c r="A941" s="452"/>
      <c r="B941" s="439"/>
      <c r="C941" s="454"/>
      <c r="D941" s="454"/>
      <c r="E941" s="439"/>
      <c r="F941" s="439"/>
      <c r="G941" s="454"/>
      <c r="H941" s="454"/>
      <c r="I941" s="456"/>
      <c r="J941" s="459"/>
      <c r="K941" s="458"/>
      <c r="L941" s="454"/>
      <c r="M941" s="453"/>
      <c r="N941" s="413"/>
      <c r="O941" s="413"/>
      <c r="P941" s="413"/>
      <c r="Q941" s="413"/>
      <c r="R941" s="413"/>
      <c r="S941" s="413"/>
      <c r="T941" s="413"/>
      <c r="U941" s="413"/>
      <c r="V941" s="413"/>
      <c r="W941" s="413"/>
      <c r="X941" s="413"/>
      <c r="Y941" s="413"/>
      <c r="Z941" s="413"/>
    </row>
    <row r="942">
      <c r="A942" s="452"/>
      <c r="B942" s="439"/>
      <c r="C942" s="454"/>
      <c r="D942" s="454"/>
      <c r="E942" s="439"/>
      <c r="F942" s="439"/>
      <c r="G942" s="454"/>
      <c r="H942" s="454"/>
      <c r="I942" s="456"/>
      <c r="J942" s="459"/>
      <c r="K942" s="458"/>
      <c r="L942" s="454"/>
      <c r="M942" s="453"/>
      <c r="N942" s="413"/>
      <c r="O942" s="413"/>
      <c r="P942" s="413"/>
      <c r="Q942" s="413"/>
      <c r="R942" s="413"/>
      <c r="S942" s="413"/>
      <c r="T942" s="413"/>
      <c r="U942" s="413"/>
      <c r="V942" s="413"/>
      <c r="W942" s="413"/>
      <c r="X942" s="413"/>
      <c r="Y942" s="413"/>
      <c r="Z942" s="413"/>
    </row>
    <row r="943">
      <c r="A943" s="452"/>
      <c r="B943" s="439"/>
      <c r="C943" s="454"/>
      <c r="D943" s="454"/>
      <c r="E943" s="439"/>
      <c r="F943" s="439"/>
      <c r="G943" s="454"/>
      <c r="H943" s="454"/>
      <c r="I943" s="456"/>
      <c r="J943" s="459"/>
      <c r="K943" s="458"/>
      <c r="L943" s="454"/>
      <c r="M943" s="453"/>
      <c r="N943" s="413"/>
      <c r="O943" s="413"/>
      <c r="P943" s="413"/>
      <c r="Q943" s="413"/>
      <c r="R943" s="413"/>
      <c r="S943" s="413"/>
      <c r="T943" s="413"/>
      <c r="U943" s="413"/>
      <c r="V943" s="413"/>
      <c r="W943" s="413"/>
      <c r="X943" s="413"/>
      <c r="Y943" s="413"/>
      <c r="Z943" s="413"/>
    </row>
    <row r="944">
      <c r="A944" s="452"/>
      <c r="B944" s="439"/>
      <c r="C944" s="454"/>
      <c r="D944" s="454"/>
      <c r="E944" s="439"/>
      <c r="F944" s="439"/>
      <c r="G944" s="454"/>
      <c r="H944" s="454"/>
      <c r="I944" s="456"/>
      <c r="J944" s="459"/>
      <c r="K944" s="458"/>
      <c r="L944" s="454"/>
      <c r="M944" s="453"/>
      <c r="N944" s="413"/>
      <c r="O944" s="413"/>
      <c r="P944" s="413"/>
      <c r="Q944" s="413"/>
      <c r="R944" s="413"/>
      <c r="S944" s="413"/>
      <c r="T944" s="413"/>
      <c r="U944" s="413"/>
      <c r="V944" s="413"/>
      <c r="W944" s="413"/>
      <c r="X944" s="413"/>
      <c r="Y944" s="413"/>
      <c r="Z944" s="413"/>
    </row>
    <row r="945">
      <c r="A945" s="452"/>
      <c r="B945" s="439"/>
      <c r="C945" s="454"/>
      <c r="D945" s="454"/>
      <c r="E945" s="439"/>
      <c r="F945" s="439"/>
      <c r="G945" s="454"/>
      <c r="H945" s="454"/>
      <c r="I945" s="456"/>
      <c r="J945" s="459"/>
      <c r="K945" s="458"/>
      <c r="L945" s="454"/>
      <c r="M945" s="453"/>
      <c r="N945" s="413"/>
      <c r="O945" s="413"/>
      <c r="P945" s="413"/>
      <c r="Q945" s="413"/>
      <c r="R945" s="413"/>
      <c r="S945" s="413"/>
      <c r="T945" s="413"/>
      <c r="U945" s="413"/>
      <c r="V945" s="413"/>
      <c r="W945" s="413"/>
      <c r="X945" s="413"/>
      <c r="Y945" s="413"/>
      <c r="Z945" s="413"/>
    </row>
    <row r="946">
      <c r="A946" s="452"/>
      <c r="B946" s="439"/>
      <c r="C946" s="454"/>
      <c r="D946" s="454"/>
      <c r="E946" s="439"/>
      <c r="F946" s="439"/>
      <c r="G946" s="454"/>
      <c r="H946" s="454"/>
      <c r="I946" s="456"/>
      <c r="J946" s="459"/>
      <c r="K946" s="458"/>
      <c r="L946" s="454"/>
      <c r="M946" s="453"/>
      <c r="N946" s="413"/>
      <c r="O946" s="413"/>
      <c r="P946" s="413"/>
      <c r="Q946" s="413"/>
      <c r="R946" s="413"/>
      <c r="S946" s="413"/>
      <c r="T946" s="413"/>
      <c r="U946" s="413"/>
      <c r="V946" s="413"/>
      <c r="W946" s="413"/>
      <c r="X946" s="413"/>
      <c r="Y946" s="413"/>
      <c r="Z946" s="413"/>
    </row>
    <row r="947">
      <c r="A947" s="452"/>
      <c r="B947" s="439"/>
      <c r="C947" s="454"/>
      <c r="D947" s="454"/>
      <c r="E947" s="439"/>
      <c r="F947" s="439"/>
      <c r="G947" s="454"/>
      <c r="H947" s="454"/>
      <c r="I947" s="456"/>
      <c r="J947" s="459"/>
      <c r="K947" s="458"/>
      <c r="L947" s="454"/>
      <c r="M947" s="453"/>
      <c r="N947" s="413"/>
      <c r="O947" s="413"/>
      <c r="P947" s="413"/>
      <c r="Q947" s="413"/>
      <c r="R947" s="413"/>
      <c r="S947" s="413"/>
      <c r="T947" s="413"/>
      <c r="U947" s="413"/>
      <c r="V947" s="413"/>
      <c r="W947" s="413"/>
      <c r="X947" s="413"/>
      <c r="Y947" s="413"/>
      <c r="Z947" s="413"/>
    </row>
    <row r="948">
      <c r="A948" s="452"/>
      <c r="B948" s="439"/>
      <c r="C948" s="454"/>
      <c r="D948" s="454"/>
      <c r="E948" s="439"/>
      <c r="F948" s="439"/>
      <c r="G948" s="454"/>
      <c r="H948" s="454"/>
      <c r="I948" s="456"/>
      <c r="J948" s="459"/>
      <c r="K948" s="458"/>
      <c r="L948" s="454"/>
      <c r="M948" s="453"/>
      <c r="N948" s="413"/>
      <c r="O948" s="413"/>
      <c r="P948" s="413"/>
      <c r="Q948" s="413"/>
      <c r="R948" s="413"/>
      <c r="S948" s="413"/>
      <c r="T948" s="413"/>
      <c r="U948" s="413"/>
      <c r="V948" s="413"/>
      <c r="W948" s="413"/>
      <c r="X948" s="413"/>
      <c r="Y948" s="413"/>
      <c r="Z948" s="413"/>
    </row>
    <row r="949">
      <c r="A949" s="452"/>
      <c r="B949" s="439"/>
      <c r="C949" s="454"/>
      <c r="D949" s="454"/>
      <c r="E949" s="439"/>
      <c r="F949" s="439"/>
      <c r="G949" s="454"/>
      <c r="H949" s="454"/>
      <c r="I949" s="456"/>
      <c r="J949" s="459"/>
      <c r="K949" s="458"/>
      <c r="L949" s="454"/>
      <c r="M949" s="453"/>
      <c r="N949" s="413"/>
      <c r="O949" s="413"/>
      <c r="P949" s="413"/>
      <c r="Q949" s="413"/>
      <c r="R949" s="413"/>
      <c r="S949" s="413"/>
      <c r="T949" s="413"/>
      <c r="U949" s="413"/>
      <c r="V949" s="413"/>
      <c r="W949" s="413"/>
      <c r="X949" s="413"/>
      <c r="Y949" s="413"/>
      <c r="Z949" s="413"/>
    </row>
    <row r="950">
      <c r="A950" s="452"/>
      <c r="B950" s="439"/>
      <c r="C950" s="454"/>
      <c r="D950" s="454"/>
      <c r="E950" s="439"/>
      <c r="F950" s="439"/>
      <c r="G950" s="454"/>
      <c r="H950" s="454"/>
      <c r="I950" s="456"/>
      <c r="J950" s="459"/>
      <c r="K950" s="458"/>
      <c r="L950" s="454"/>
      <c r="M950" s="453"/>
      <c r="N950" s="413"/>
      <c r="O950" s="413"/>
      <c r="P950" s="413"/>
      <c r="Q950" s="413"/>
      <c r="R950" s="413"/>
      <c r="S950" s="413"/>
      <c r="T950" s="413"/>
      <c r="U950" s="413"/>
      <c r="V950" s="413"/>
      <c r="W950" s="413"/>
      <c r="X950" s="413"/>
      <c r="Y950" s="413"/>
      <c r="Z950" s="413"/>
    </row>
    <row r="951">
      <c r="A951" s="452"/>
      <c r="B951" s="439"/>
      <c r="C951" s="454"/>
      <c r="D951" s="454"/>
      <c r="E951" s="439"/>
      <c r="F951" s="439"/>
      <c r="G951" s="454"/>
      <c r="H951" s="454"/>
      <c r="I951" s="456"/>
      <c r="J951" s="459"/>
      <c r="K951" s="458"/>
      <c r="L951" s="454"/>
      <c r="M951" s="453"/>
      <c r="N951" s="413"/>
      <c r="O951" s="413"/>
      <c r="P951" s="413"/>
      <c r="Q951" s="413"/>
      <c r="R951" s="413"/>
      <c r="S951" s="413"/>
      <c r="T951" s="413"/>
      <c r="U951" s="413"/>
      <c r="V951" s="413"/>
      <c r="W951" s="413"/>
      <c r="X951" s="413"/>
      <c r="Y951" s="413"/>
      <c r="Z951" s="413"/>
    </row>
    <row r="952">
      <c r="A952" s="452"/>
      <c r="B952" s="439"/>
      <c r="C952" s="454"/>
      <c r="D952" s="454"/>
      <c r="E952" s="439"/>
      <c r="F952" s="439"/>
      <c r="G952" s="454"/>
      <c r="H952" s="454"/>
      <c r="I952" s="456"/>
      <c r="J952" s="459"/>
      <c r="K952" s="458"/>
      <c r="L952" s="454"/>
      <c r="M952" s="453"/>
      <c r="N952" s="413"/>
      <c r="O952" s="413"/>
      <c r="P952" s="413"/>
      <c r="Q952" s="413"/>
      <c r="R952" s="413"/>
      <c r="S952" s="413"/>
      <c r="T952" s="413"/>
      <c r="U952" s="413"/>
      <c r="V952" s="413"/>
      <c r="W952" s="413"/>
      <c r="X952" s="413"/>
      <c r="Y952" s="413"/>
      <c r="Z952" s="413"/>
    </row>
    <row r="953">
      <c r="A953" s="452"/>
      <c r="B953" s="439"/>
      <c r="C953" s="454"/>
      <c r="D953" s="454"/>
      <c r="E953" s="439"/>
      <c r="F953" s="439"/>
      <c r="G953" s="454"/>
      <c r="H953" s="454"/>
      <c r="I953" s="456"/>
      <c r="J953" s="459"/>
      <c r="K953" s="458"/>
      <c r="L953" s="454"/>
      <c r="M953" s="453"/>
      <c r="N953" s="413"/>
      <c r="O953" s="413"/>
      <c r="P953" s="413"/>
      <c r="Q953" s="413"/>
      <c r="R953" s="413"/>
      <c r="S953" s="413"/>
      <c r="T953" s="413"/>
      <c r="U953" s="413"/>
      <c r="V953" s="413"/>
      <c r="W953" s="413"/>
      <c r="X953" s="413"/>
      <c r="Y953" s="413"/>
      <c r="Z953" s="413"/>
    </row>
    <row r="954">
      <c r="A954" s="452"/>
      <c r="B954" s="439"/>
      <c r="C954" s="454"/>
      <c r="D954" s="454"/>
      <c r="E954" s="439"/>
      <c r="F954" s="439"/>
      <c r="G954" s="454"/>
      <c r="H954" s="454"/>
      <c r="I954" s="456"/>
      <c r="J954" s="459"/>
      <c r="K954" s="458"/>
      <c r="L954" s="454"/>
      <c r="M954" s="453"/>
      <c r="N954" s="413"/>
      <c r="O954" s="413"/>
      <c r="P954" s="413"/>
      <c r="Q954" s="413"/>
      <c r="R954" s="413"/>
      <c r="S954" s="413"/>
      <c r="T954" s="413"/>
      <c r="U954" s="413"/>
      <c r="V954" s="413"/>
      <c r="W954" s="413"/>
      <c r="X954" s="413"/>
      <c r="Y954" s="413"/>
      <c r="Z954" s="413"/>
    </row>
    <row r="955">
      <c r="A955" s="452"/>
      <c r="B955" s="439"/>
      <c r="C955" s="454"/>
      <c r="D955" s="454"/>
      <c r="E955" s="439"/>
      <c r="F955" s="439"/>
      <c r="G955" s="454"/>
      <c r="H955" s="454"/>
      <c r="I955" s="456"/>
      <c r="J955" s="459"/>
      <c r="K955" s="458"/>
      <c r="L955" s="454"/>
      <c r="M955" s="453"/>
      <c r="N955" s="413"/>
      <c r="O955" s="413"/>
      <c r="P955" s="413"/>
      <c r="Q955" s="413"/>
      <c r="R955" s="413"/>
      <c r="S955" s="413"/>
      <c r="T955" s="413"/>
      <c r="U955" s="413"/>
      <c r="V955" s="413"/>
      <c r="W955" s="413"/>
      <c r="X955" s="413"/>
      <c r="Y955" s="413"/>
      <c r="Z955" s="413"/>
    </row>
    <row r="956">
      <c r="A956" s="452"/>
      <c r="B956" s="439"/>
      <c r="C956" s="454"/>
      <c r="D956" s="454"/>
      <c r="E956" s="439"/>
      <c r="F956" s="439"/>
      <c r="G956" s="454"/>
      <c r="H956" s="454"/>
      <c r="I956" s="456"/>
      <c r="J956" s="459"/>
      <c r="K956" s="458"/>
      <c r="L956" s="454"/>
      <c r="M956" s="453"/>
      <c r="N956" s="413"/>
      <c r="O956" s="413"/>
      <c r="P956" s="413"/>
      <c r="Q956" s="413"/>
      <c r="R956" s="413"/>
      <c r="S956" s="413"/>
      <c r="T956" s="413"/>
      <c r="U956" s="413"/>
      <c r="V956" s="413"/>
      <c r="W956" s="413"/>
      <c r="X956" s="413"/>
      <c r="Y956" s="413"/>
      <c r="Z956" s="413"/>
    </row>
    <row r="957">
      <c r="A957" s="452"/>
      <c r="B957" s="439"/>
      <c r="C957" s="454"/>
      <c r="D957" s="454"/>
      <c r="E957" s="439"/>
      <c r="F957" s="439"/>
      <c r="G957" s="454"/>
      <c r="H957" s="454"/>
      <c r="I957" s="456"/>
      <c r="J957" s="459"/>
      <c r="K957" s="458"/>
      <c r="L957" s="454"/>
      <c r="M957" s="453"/>
      <c r="N957" s="413"/>
      <c r="O957" s="413"/>
      <c r="P957" s="413"/>
      <c r="Q957" s="413"/>
      <c r="R957" s="413"/>
      <c r="S957" s="413"/>
      <c r="T957" s="413"/>
      <c r="U957" s="413"/>
      <c r="V957" s="413"/>
      <c r="W957" s="413"/>
      <c r="X957" s="413"/>
      <c r="Y957" s="413"/>
      <c r="Z957" s="413"/>
    </row>
    <row r="958">
      <c r="A958" s="452"/>
      <c r="B958" s="439"/>
      <c r="C958" s="454"/>
      <c r="D958" s="454"/>
      <c r="E958" s="439"/>
      <c r="F958" s="439"/>
      <c r="G958" s="454"/>
      <c r="H958" s="454"/>
      <c r="I958" s="456"/>
      <c r="J958" s="459"/>
      <c r="K958" s="458"/>
      <c r="L958" s="454"/>
      <c r="M958" s="453"/>
      <c r="N958" s="413"/>
      <c r="O958" s="413"/>
      <c r="P958" s="413"/>
      <c r="Q958" s="413"/>
      <c r="R958" s="413"/>
      <c r="S958" s="413"/>
      <c r="T958" s="413"/>
      <c r="U958" s="413"/>
      <c r="V958" s="413"/>
      <c r="W958" s="413"/>
      <c r="X958" s="413"/>
      <c r="Y958" s="413"/>
      <c r="Z958" s="413"/>
    </row>
    <row r="959">
      <c r="A959" s="452"/>
      <c r="B959" s="439"/>
      <c r="C959" s="454"/>
      <c r="D959" s="454"/>
      <c r="E959" s="439"/>
      <c r="F959" s="439"/>
      <c r="G959" s="454"/>
      <c r="H959" s="454"/>
      <c r="I959" s="456"/>
      <c r="J959" s="459"/>
      <c r="K959" s="458"/>
      <c r="L959" s="454"/>
      <c r="M959" s="453"/>
      <c r="N959" s="413"/>
      <c r="O959" s="413"/>
      <c r="P959" s="413"/>
      <c r="Q959" s="413"/>
      <c r="R959" s="413"/>
      <c r="S959" s="413"/>
      <c r="T959" s="413"/>
      <c r="U959" s="413"/>
      <c r="V959" s="413"/>
      <c r="W959" s="413"/>
      <c r="X959" s="413"/>
      <c r="Y959" s="413"/>
      <c r="Z959" s="413"/>
    </row>
    <row r="960">
      <c r="A960" s="452"/>
      <c r="B960" s="439"/>
      <c r="C960" s="454"/>
      <c r="D960" s="454"/>
      <c r="E960" s="439"/>
      <c r="F960" s="439"/>
      <c r="G960" s="454"/>
      <c r="H960" s="454"/>
      <c r="I960" s="456"/>
      <c r="J960" s="459"/>
      <c r="K960" s="458"/>
      <c r="L960" s="454"/>
      <c r="M960" s="453"/>
      <c r="N960" s="413"/>
      <c r="O960" s="413"/>
      <c r="P960" s="413"/>
      <c r="Q960" s="413"/>
      <c r="R960" s="413"/>
      <c r="S960" s="413"/>
      <c r="T960" s="413"/>
      <c r="U960" s="413"/>
      <c r="V960" s="413"/>
      <c r="W960" s="413"/>
      <c r="X960" s="413"/>
      <c r="Y960" s="413"/>
      <c r="Z960" s="413"/>
    </row>
    <row r="961">
      <c r="A961" s="452"/>
      <c r="B961" s="439"/>
      <c r="C961" s="454"/>
      <c r="D961" s="454"/>
      <c r="E961" s="439"/>
      <c r="F961" s="439"/>
      <c r="G961" s="454"/>
      <c r="H961" s="454"/>
      <c r="I961" s="456"/>
      <c r="J961" s="459"/>
      <c r="K961" s="458"/>
      <c r="L961" s="454"/>
      <c r="M961" s="453"/>
      <c r="N961" s="413"/>
      <c r="O961" s="413"/>
      <c r="P961" s="413"/>
      <c r="Q961" s="413"/>
      <c r="R961" s="413"/>
      <c r="S961" s="413"/>
      <c r="T961" s="413"/>
      <c r="U961" s="413"/>
      <c r="V961" s="413"/>
      <c r="W961" s="413"/>
      <c r="X961" s="413"/>
      <c r="Y961" s="413"/>
      <c r="Z961" s="413"/>
    </row>
    <row r="962">
      <c r="A962" s="452"/>
      <c r="B962" s="439"/>
      <c r="C962" s="454"/>
      <c r="D962" s="454"/>
      <c r="E962" s="439"/>
      <c r="F962" s="439"/>
      <c r="G962" s="454"/>
      <c r="H962" s="454"/>
      <c r="I962" s="456"/>
      <c r="J962" s="459"/>
      <c r="K962" s="458"/>
      <c r="L962" s="454"/>
      <c r="M962" s="453"/>
      <c r="N962" s="413"/>
      <c r="O962" s="413"/>
      <c r="P962" s="413"/>
      <c r="Q962" s="413"/>
      <c r="R962" s="413"/>
      <c r="S962" s="413"/>
      <c r="T962" s="413"/>
      <c r="U962" s="413"/>
      <c r="V962" s="413"/>
      <c r="W962" s="413"/>
      <c r="X962" s="413"/>
      <c r="Y962" s="413"/>
      <c r="Z962" s="413"/>
    </row>
    <row r="963">
      <c r="A963" s="452"/>
      <c r="B963" s="439"/>
      <c r="C963" s="454"/>
      <c r="D963" s="454"/>
      <c r="E963" s="439"/>
      <c r="F963" s="439"/>
      <c r="G963" s="454"/>
      <c r="H963" s="454"/>
      <c r="I963" s="456"/>
      <c r="J963" s="459"/>
      <c r="K963" s="458"/>
      <c r="L963" s="454"/>
      <c r="M963" s="453"/>
      <c r="N963" s="413"/>
      <c r="O963" s="413"/>
      <c r="P963" s="413"/>
      <c r="Q963" s="413"/>
      <c r="R963" s="413"/>
      <c r="S963" s="413"/>
      <c r="T963" s="413"/>
      <c r="U963" s="413"/>
      <c r="V963" s="413"/>
      <c r="W963" s="413"/>
      <c r="X963" s="413"/>
      <c r="Y963" s="413"/>
      <c r="Z963" s="413"/>
    </row>
    <row r="964">
      <c r="A964" s="452"/>
      <c r="B964" s="439"/>
      <c r="C964" s="454"/>
      <c r="D964" s="454"/>
      <c r="E964" s="439"/>
      <c r="F964" s="439"/>
      <c r="G964" s="454"/>
      <c r="H964" s="454"/>
      <c r="I964" s="456"/>
      <c r="J964" s="459"/>
      <c r="K964" s="458"/>
      <c r="L964" s="454"/>
      <c r="M964" s="453"/>
      <c r="N964" s="413"/>
      <c r="O964" s="413"/>
      <c r="P964" s="413"/>
      <c r="Q964" s="413"/>
      <c r="R964" s="413"/>
      <c r="S964" s="413"/>
      <c r="T964" s="413"/>
      <c r="U964" s="413"/>
      <c r="V964" s="413"/>
      <c r="W964" s="413"/>
      <c r="X964" s="413"/>
      <c r="Y964" s="413"/>
      <c r="Z964" s="413"/>
    </row>
    <row r="965">
      <c r="A965" s="452"/>
      <c r="B965" s="439"/>
      <c r="C965" s="454"/>
      <c r="D965" s="454"/>
      <c r="E965" s="439"/>
      <c r="F965" s="439"/>
      <c r="G965" s="454"/>
      <c r="H965" s="454"/>
      <c r="I965" s="456"/>
      <c r="J965" s="459"/>
      <c r="K965" s="458"/>
      <c r="L965" s="454"/>
      <c r="M965" s="453"/>
      <c r="N965" s="413"/>
      <c r="O965" s="413"/>
      <c r="P965" s="413"/>
      <c r="Q965" s="413"/>
      <c r="R965" s="413"/>
      <c r="S965" s="413"/>
      <c r="T965" s="413"/>
      <c r="U965" s="413"/>
      <c r="V965" s="413"/>
      <c r="W965" s="413"/>
      <c r="X965" s="413"/>
      <c r="Y965" s="413"/>
      <c r="Z965" s="413"/>
    </row>
    <row r="966">
      <c r="A966" s="452"/>
      <c r="B966" s="439"/>
      <c r="C966" s="454"/>
      <c r="D966" s="454"/>
      <c r="E966" s="439"/>
      <c r="F966" s="439"/>
      <c r="G966" s="454"/>
      <c r="H966" s="454"/>
      <c r="I966" s="456"/>
      <c r="J966" s="459"/>
      <c r="K966" s="458"/>
      <c r="L966" s="454"/>
      <c r="M966" s="453"/>
      <c r="N966" s="413"/>
      <c r="O966" s="413"/>
      <c r="P966" s="413"/>
      <c r="Q966" s="413"/>
      <c r="R966" s="413"/>
      <c r="S966" s="413"/>
      <c r="T966" s="413"/>
      <c r="U966" s="413"/>
      <c r="V966" s="413"/>
      <c r="W966" s="413"/>
      <c r="X966" s="413"/>
      <c r="Y966" s="413"/>
      <c r="Z966" s="413"/>
    </row>
    <row r="967">
      <c r="A967" s="452"/>
      <c r="B967" s="439"/>
      <c r="C967" s="454"/>
      <c r="D967" s="454"/>
      <c r="E967" s="439"/>
      <c r="F967" s="439"/>
      <c r="G967" s="454"/>
      <c r="H967" s="454"/>
      <c r="I967" s="456"/>
      <c r="J967" s="459"/>
      <c r="K967" s="458"/>
      <c r="L967" s="454"/>
      <c r="M967" s="453"/>
      <c r="N967" s="413"/>
      <c r="O967" s="413"/>
      <c r="P967" s="413"/>
      <c r="Q967" s="413"/>
      <c r="R967" s="413"/>
      <c r="S967" s="413"/>
      <c r="T967" s="413"/>
      <c r="U967" s="413"/>
      <c r="V967" s="413"/>
      <c r="W967" s="413"/>
      <c r="X967" s="413"/>
      <c r="Y967" s="413"/>
      <c r="Z967" s="413"/>
    </row>
    <row r="968">
      <c r="A968" s="452"/>
      <c r="B968" s="439"/>
      <c r="C968" s="454"/>
      <c r="D968" s="454"/>
      <c r="E968" s="439"/>
      <c r="F968" s="439"/>
      <c r="G968" s="454"/>
      <c r="H968" s="454"/>
      <c r="I968" s="456"/>
      <c r="J968" s="459"/>
      <c r="K968" s="458"/>
      <c r="L968" s="454"/>
      <c r="M968" s="453"/>
      <c r="N968" s="413"/>
      <c r="O968" s="413"/>
      <c r="P968" s="413"/>
      <c r="Q968" s="413"/>
      <c r="R968" s="413"/>
      <c r="S968" s="413"/>
      <c r="T968" s="413"/>
      <c r="U968" s="413"/>
      <c r="V968" s="413"/>
      <c r="W968" s="413"/>
      <c r="X968" s="413"/>
      <c r="Y968" s="413"/>
      <c r="Z968" s="413"/>
    </row>
    <row r="969">
      <c r="A969" s="452"/>
      <c r="B969" s="439"/>
      <c r="C969" s="454"/>
      <c r="D969" s="454"/>
      <c r="E969" s="439"/>
      <c r="F969" s="439"/>
      <c r="G969" s="454"/>
      <c r="H969" s="454"/>
      <c r="I969" s="456"/>
      <c r="J969" s="459"/>
      <c r="K969" s="458"/>
      <c r="L969" s="454"/>
      <c r="M969" s="453"/>
      <c r="N969" s="413"/>
      <c r="O969" s="413"/>
      <c r="P969" s="413"/>
      <c r="Q969" s="413"/>
      <c r="R969" s="413"/>
      <c r="S969" s="413"/>
      <c r="T969" s="413"/>
      <c r="U969" s="413"/>
      <c r="V969" s="413"/>
      <c r="W969" s="413"/>
      <c r="X969" s="413"/>
      <c r="Y969" s="413"/>
      <c r="Z969" s="413"/>
    </row>
    <row r="970">
      <c r="A970" s="452"/>
      <c r="B970" s="439"/>
      <c r="C970" s="454"/>
      <c r="D970" s="454"/>
      <c r="E970" s="439"/>
      <c r="F970" s="439"/>
      <c r="G970" s="454"/>
      <c r="H970" s="454"/>
      <c r="I970" s="456"/>
      <c r="J970" s="459"/>
      <c r="K970" s="458"/>
      <c r="L970" s="454"/>
      <c r="M970" s="453"/>
      <c r="N970" s="413"/>
      <c r="O970" s="413"/>
      <c r="P970" s="413"/>
      <c r="Q970" s="413"/>
      <c r="R970" s="413"/>
      <c r="S970" s="413"/>
      <c r="T970" s="413"/>
      <c r="U970" s="413"/>
      <c r="V970" s="413"/>
      <c r="W970" s="413"/>
      <c r="X970" s="413"/>
      <c r="Y970" s="413"/>
      <c r="Z970" s="413"/>
    </row>
    <row r="971">
      <c r="A971" s="452"/>
      <c r="B971" s="439"/>
      <c r="C971" s="454"/>
      <c r="D971" s="454"/>
      <c r="E971" s="439"/>
      <c r="F971" s="439"/>
      <c r="G971" s="454"/>
      <c r="H971" s="454"/>
      <c r="I971" s="456"/>
      <c r="J971" s="459"/>
      <c r="K971" s="458"/>
      <c r="L971" s="454"/>
      <c r="M971" s="453"/>
      <c r="N971" s="413"/>
      <c r="O971" s="413"/>
      <c r="P971" s="413"/>
      <c r="Q971" s="413"/>
      <c r="R971" s="413"/>
      <c r="S971" s="413"/>
      <c r="T971" s="413"/>
      <c r="U971" s="413"/>
      <c r="V971" s="413"/>
      <c r="W971" s="413"/>
      <c r="X971" s="413"/>
      <c r="Y971" s="413"/>
      <c r="Z971" s="413"/>
    </row>
    <row r="972">
      <c r="A972" s="452"/>
      <c r="B972" s="439"/>
      <c r="C972" s="454"/>
      <c r="D972" s="454"/>
      <c r="E972" s="439"/>
      <c r="F972" s="439"/>
      <c r="G972" s="454"/>
      <c r="H972" s="454"/>
      <c r="I972" s="456"/>
      <c r="J972" s="459"/>
      <c r="K972" s="458"/>
      <c r="L972" s="454"/>
      <c r="M972" s="453"/>
      <c r="N972" s="413"/>
      <c r="O972" s="413"/>
      <c r="P972" s="413"/>
      <c r="Q972" s="413"/>
      <c r="R972" s="413"/>
      <c r="S972" s="413"/>
      <c r="T972" s="413"/>
      <c r="U972" s="413"/>
      <c r="V972" s="413"/>
      <c r="W972" s="413"/>
      <c r="X972" s="413"/>
      <c r="Y972" s="413"/>
      <c r="Z972" s="413"/>
    </row>
    <row r="973">
      <c r="A973" s="452"/>
      <c r="B973" s="439"/>
      <c r="C973" s="454"/>
      <c r="D973" s="454"/>
      <c r="E973" s="439"/>
      <c r="F973" s="439"/>
      <c r="G973" s="454"/>
      <c r="H973" s="454"/>
      <c r="I973" s="456"/>
      <c r="J973" s="459"/>
      <c r="K973" s="458"/>
      <c r="L973" s="454"/>
      <c r="M973" s="453"/>
      <c r="N973" s="413"/>
      <c r="O973" s="413"/>
      <c r="P973" s="413"/>
      <c r="Q973" s="413"/>
      <c r="R973" s="413"/>
      <c r="S973" s="413"/>
      <c r="T973" s="413"/>
      <c r="U973" s="413"/>
      <c r="V973" s="413"/>
      <c r="W973" s="413"/>
      <c r="X973" s="413"/>
      <c r="Y973" s="413"/>
      <c r="Z973" s="413"/>
    </row>
    <row r="974">
      <c r="A974" s="452"/>
      <c r="B974" s="439"/>
      <c r="C974" s="454"/>
      <c r="D974" s="454"/>
      <c r="E974" s="439"/>
      <c r="F974" s="439"/>
      <c r="G974" s="454"/>
      <c r="H974" s="454"/>
      <c r="I974" s="456"/>
      <c r="J974" s="459"/>
      <c r="K974" s="458"/>
      <c r="L974" s="454"/>
      <c r="M974" s="453"/>
      <c r="N974" s="413"/>
      <c r="O974" s="413"/>
      <c r="P974" s="413"/>
      <c r="Q974" s="413"/>
      <c r="R974" s="413"/>
      <c r="S974" s="413"/>
      <c r="T974" s="413"/>
      <c r="U974" s="413"/>
      <c r="V974" s="413"/>
      <c r="W974" s="413"/>
      <c r="X974" s="413"/>
      <c r="Y974" s="413"/>
      <c r="Z974" s="413"/>
    </row>
    <row r="975">
      <c r="A975" s="452"/>
      <c r="B975" s="439"/>
      <c r="C975" s="454"/>
      <c r="D975" s="454"/>
      <c r="E975" s="439"/>
      <c r="F975" s="439"/>
      <c r="G975" s="454"/>
      <c r="H975" s="454"/>
      <c r="I975" s="456"/>
      <c r="J975" s="459"/>
      <c r="K975" s="458"/>
      <c r="L975" s="454"/>
      <c r="M975" s="453"/>
      <c r="N975" s="413"/>
      <c r="O975" s="413"/>
      <c r="P975" s="413"/>
      <c r="Q975" s="413"/>
      <c r="R975" s="413"/>
      <c r="S975" s="413"/>
      <c r="T975" s="413"/>
      <c r="U975" s="413"/>
      <c r="V975" s="413"/>
      <c r="W975" s="413"/>
      <c r="X975" s="413"/>
      <c r="Y975" s="413"/>
      <c r="Z975" s="413"/>
    </row>
    <row r="976">
      <c r="A976" s="452"/>
      <c r="B976" s="439"/>
      <c r="C976" s="454"/>
      <c r="D976" s="454"/>
      <c r="E976" s="439"/>
      <c r="F976" s="439"/>
      <c r="G976" s="454"/>
      <c r="H976" s="454"/>
      <c r="I976" s="456"/>
      <c r="J976" s="459"/>
      <c r="K976" s="458"/>
      <c r="L976" s="454"/>
      <c r="M976" s="453"/>
      <c r="N976" s="413"/>
      <c r="O976" s="413"/>
      <c r="P976" s="413"/>
      <c r="Q976" s="413"/>
      <c r="R976" s="413"/>
      <c r="S976" s="413"/>
      <c r="T976" s="413"/>
      <c r="U976" s="413"/>
      <c r="V976" s="413"/>
      <c r="W976" s="413"/>
      <c r="X976" s="413"/>
      <c r="Y976" s="413"/>
      <c r="Z976" s="413"/>
    </row>
    <row r="977">
      <c r="A977" s="452"/>
      <c r="B977" s="439"/>
      <c r="C977" s="454"/>
      <c r="D977" s="454"/>
      <c r="E977" s="439"/>
      <c r="F977" s="439"/>
      <c r="G977" s="454"/>
      <c r="H977" s="454"/>
      <c r="I977" s="456"/>
      <c r="J977" s="459"/>
      <c r="K977" s="458"/>
      <c r="L977" s="454"/>
      <c r="M977" s="453"/>
      <c r="N977" s="413"/>
      <c r="O977" s="413"/>
      <c r="P977" s="413"/>
      <c r="Q977" s="413"/>
      <c r="R977" s="413"/>
      <c r="S977" s="413"/>
      <c r="T977" s="413"/>
      <c r="U977" s="413"/>
      <c r="V977" s="413"/>
      <c r="W977" s="413"/>
      <c r="X977" s="413"/>
      <c r="Y977" s="413"/>
      <c r="Z977" s="413"/>
    </row>
    <row r="978">
      <c r="A978" s="452"/>
      <c r="B978" s="439"/>
      <c r="C978" s="454"/>
      <c r="D978" s="454"/>
      <c r="E978" s="439"/>
      <c r="F978" s="439"/>
      <c r="G978" s="454"/>
      <c r="H978" s="454"/>
      <c r="I978" s="456"/>
      <c r="J978" s="459"/>
      <c r="K978" s="458"/>
      <c r="L978" s="454"/>
      <c r="M978" s="453"/>
      <c r="N978" s="413"/>
      <c r="O978" s="413"/>
      <c r="P978" s="413"/>
      <c r="Q978" s="413"/>
      <c r="R978" s="413"/>
      <c r="S978" s="413"/>
      <c r="T978" s="413"/>
      <c r="U978" s="413"/>
      <c r="V978" s="413"/>
      <c r="W978" s="413"/>
      <c r="X978" s="413"/>
      <c r="Y978" s="413"/>
      <c r="Z978" s="413"/>
    </row>
    <row r="979">
      <c r="A979" s="452"/>
      <c r="B979" s="439"/>
      <c r="C979" s="454"/>
      <c r="D979" s="454"/>
      <c r="E979" s="439"/>
      <c r="F979" s="439"/>
      <c r="G979" s="454"/>
      <c r="H979" s="454"/>
      <c r="I979" s="456"/>
      <c r="J979" s="459"/>
      <c r="K979" s="458"/>
      <c r="L979" s="454"/>
      <c r="M979" s="453"/>
      <c r="N979" s="413"/>
      <c r="O979" s="413"/>
      <c r="P979" s="413"/>
      <c r="Q979" s="413"/>
      <c r="R979" s="413"/>
      <c r="S979" s="413"/>
      <c r="T979" s="413"/>
      <c r="U979" s="413"/>
      <c r="V979" s="413"/>
      <c r="W979" s="413"/>
      <c r="X979" s="413"/>
      <c r="Y979" s="413"/>
      <c r="Z979" s="413"/>
    </row>
    <row r="980">
      <c r="A980" s="452"/>
      <c r="B980" s="439"/>
      <c r="C980" s="454"/>
      <c r="D980" s="454"/>
      <c r="E980" s="439"/>
      <c r="F980" s="439"/>
      <c r="G980" s="454"/>
      <c r="H980" s="454"/>
      <c r="I980" s="456"/>
      <c r="J980" s="459"/>
      <c r="K980" s="458"/>
      <c r="L980" s="454"/>
      <c r="M980" s="453"/>
      <c r="N980" s="413"/>
      <c r="O980" s="413"/>
      <c r="P980" s="413"/>
      <c r="Q980" s="413"/>
      <c r="R980" s="413"/>
      <c r="S980" s="413"/>
      <c r="T980" s="413"/>
      <c r="U980" s="413"/>
      <c r="V980" s="413"/>
      <c r="W980" s="413"/>
      <c r="X980" s="413"/>
      <c r="Y980" s="413"/>
      <c r="Z980" s="413"/>
    </row>
    <row r="981">
      <c r="A981" s="452"/>
      <c r="B981" s="439"/>
      <c r="C981" s="454"/>
      <c r="D981" s="454"/>
      <c r="E981" s="439"/>
      <c r="F981" s="439"/>
      <c r="G981" s="454"/>
      <c r="H981" s="454"/>
      <c r="I981" s="456"/>
      <c r="J981" s="459"/>
      <c r="K981" s="458"/>
      <c r="L981" s="454"/>
      <c r="M981" s="453"/>
      <c r="N981" s="413"/>
      <c r="O981" s="413"/>
      <c r="P981" s="413"/>
      <c r="Q981" s="413"/>
      <c r="R981" s="413"/>
      <c r="S981" s="413"/>
      <c r="T981" s="413"/>
      <c r="U981" s="413"/>
      <c r="V981" s="413"/>
      <c r="W981" s="413"/>
      <c r="X981" s="413"/>
      <c r="Y981" s="413"/>
      <c r="Z981" s="413"/>
    </row>
    <row r="982">
      <c r="A982" s="452"/>
      <c r="B982" s="439"/>
      <c r="C982" s="454"/>
      <c r="D982" s="454"/>
      <c r="E982" s="439"/>
      <c r="F982" s="439"/>
      <c r="G982" s="454"/>
      <c r="H982" s="454"/>
      <c r="I982" s="456"/>
      <c r="J982" s="459"/>
      <c r="K982" s="458"/>
      <c r="L982" s="454"/>
      <c r="M982" s="453"/>
      <c r="N982" s="413"/>
      <c r="O982" s="413"/>
      <c r="P982" s="413"/>
      <c r="Q982" s="413"/>
      <c r="R982" s="413"/>
      <c r="S982" s="413"/>
      <c r="T982" s="413"/>
      <c r="U982" s="413"/>
      <c r="V982" s="413"/>
      <c r="W982" s="413"/>
      <c r="X982" s="413"/>
      <c r="Y982" s="413"/>
      <c r="Z982" s="413"/>
    </row>
    <row r="983">
      <c r="A983" s="452"/>
      <c r="B983" s="439"/>
      <c r="C983" s="454"/>
      <c r="D983" s="454"/>
      <c r="E983" s="439"/>
      <c r="F983" s="439"/>
      <c r="G983" s="454"/>
      <c r="H983" s="454"/>
      <c r="I983" s="456"/>
      <c r="J983" s="459"/>
      <c r="K983" s="458"/>
      <c r="L983" s="454"/>
      <c r="M983" s="453"/>
      <c r="N983" s="413"/>
      <c r="O983" s="413"/>
      <c r="P983" s="413"/>
      <c r="Q983" s="413"/>
      <c r="R983" s="413"/>
      <c r="S983" s="413"/>
      <c r="T983" s="413"/>
      <c r="U983" s="413"/>
      <c r="V983" s="413"/>
      <c r="W983" s="413"/>
      <c r="X983" s="413"/>
      <c r="Y983" s="413"/>
      <c r="Z983" s="413"/>
    </row>
    <row r="984">
      <c r="A984" s="452"/>
      <c r="B984" s="439"/>
      <c r="C984" s="454"/>
      <c r="D984" s="454"/>
      <c r="E984" s="439"/>
      <c r="F984" s="439"/>
      <c r="G984" s="454"/>
      <c r="H984" s="454"/>
      <c r="I984" s="456"/>
      <c r="J984" s="459"/>
      <c r="K984" s="458"/>
      <c r="L984" s="454"/>
      <c r="M984" s="453"/>
      <c r="N984" s="413"/>
      <c r="O984" s="413"/>
      <c r="P984" s="413"/>
      <c r="Q984" s="413"/>
      <c r="R984" s="413"/>
      <c r="S984" s="413"/>
      <c r="T984" s="413"/>
      <c r="U984" s="413"/>
      <c r="V984" s="413"/>
      <c r="W984" s="413"/>
      <c r="X984" s="413"/>
      <c r="Y984" s="413"/>
      <c r="Z984" s="413"/>
    </row>
    <row r="985">
      <c r="A985" s="452"/>
      <c r="B985" s="439"/>
      <c r="C985" s="454"/>
      <c r="D985" s="454"/>
      <c r="E985" s="439"/>
      <c r="F985" s="439"/>
      <c r="G985" s="454"/>
      <c r="H985" s="454"/>
      <c r="I985" s="456"/>
      <c r="J985" s="459"/>
      <c r="K985" s="458"/>
      <c r="L985" s="454"/>
      <c r="M985" s="453"/>
      <c r="N985" s="413"/>
      <c r="O985" s="413"/>
      <c r="P985" s="413"/>
      <c r="Q985" s="413"/>
      <c r="R985" s="413"/>
      <c r="S985" s="413"/>
      <c r="T985" s="413"/>
      <c r="U985" s="413"/>
      <c r="V985" s="413"/>
      <c r="W985" s="413"/>
      <c r="X985" s="413"/>
      <c r="Y985" s="413"/>
      <c r="Z985" s="413"/>
    </row>
    <row r="986">
      <c r="A986" s="452"/>
      <c r="B986" s="439"/>
      <c r="C986" s="454"/>
      <c r="D986" s="454"/>
      <c r="E986" s="439"/>
      <c r="F986" s="439"/>
      <c r="G986" s="454"/>
      <c r="H986" s="454"/>
      <c r="I986" s="456"/>
      <c r="J986" s="459"/>
      <c r="K986" s="458"/>
      <c r="L986" s="454"/>
      <c r="M986" s="453"/>
      <c r="N986" s="413"/>
      <c r="O986" s="413"/>
      <c r="P986" s="413"/>
      <c r="Q986" s="413"/>
      <c r="R986" s="413"/>
      <c r="S986" s="413"/>
      <c r="T986" s="413"/>
      <c r="U986" s="413"/>
      <c r="V986" s="413"/>
      <c r="W986" s="413"/>
      <c r="X986" s="413"/>
      <c r="Y986" s="413"/>
      <c r="Z986" s="413"/>
    </row>
    <row r="987">
      <c r="A987" s="452"/>
      <c r="B987" s="439"/>
      <c r="C987" s="454"/>
      <c r="D987" s="454"/>
      <c r="E987" s="439"/>
      <c r="F987" s="439"/>
      <c r="G987" s="454"/>
      <c r="H987" s="454"/>
      <c r="I987" s="456"/>
      <c r="J987" s="459"/>
      <c r="K987" s="458"/>
      <c r="L987" s="454"/>
      <c r="M987" s="453"/>
      <c r="N987" s="413"/>
      <c r="O987" s="413"/>
      <c r="P987" s="413"/>
      <c r="Q987" s="413"/>
      <c r="R987" s="413"/>
      <c r="S987" s="413"/>
      <c r="T987" s="413"/>
      <c r="U987" s="413"/>
      <c r="V987" s="413"/>
      <c r="W987" s="413"/>
      <c r="X987" s="413"/>
      <c r="Y987" s="413"/>
      <c r="Z987" s="413"/>
    </row>
    <row r="988">
      <c r="A988" s="452"/>
      <c r="B988" s="439"/>
      <c r="C988" s="454"/>
      <c r="D988" s="454"/>
      <c r="E988" s="439"/>
      <c r="F988" s="439"/>
      <c r="G988" s="454"/>
      <c r="H988" s="454"/>
      <c r="I988" s="456"/>
      <c r="J988" s="459"/>
      <c r="K988" s="458"/>
      <c r="L988" s="454"/>
      <c r="M988" s="453"/>
      <c r="N988" s="413"/>
      <c r="O988" s="413"/>
      <c r="P988" s="413"/>
      <c r="Q988" s="413"/>
      <c r="R988" s="413"/>
      <c r="S988" s="413"/>
      <c r="T988" s="413"/>
      <c r="U988" s="413"/>
      <c r="V988" s="413"/>
      <c r="W988" s="413"/>
      <c r="X988" s="413"/>
      <c r="Y988" s="413"/>
      <c r="Z988" s="413"/>
    </row>
    <row r="989">
      <c r="A989" s="452"/>
      <c r="B989" s="439"/>
      <c r="C989" s="454"/>
      <c r="D989" s="454"/>
      <c r="E989" s="439"/>
      <c r="F989" s="439"/>
      <c r="G989" s="454"/>
      <c r="H989" s="454"/>
      <c r="I989" s="456"/>
      <c r="J989" s="459"/>
      <c r="K989" s="458"/>
      <c r="L989" s="454"/>
      <c r="M989" s="453"/>
      <c r="N989" s="413"/>
      <c r="O989" s="413"/>
      <c r="P989" s="413"/>
      <c r="Q989" s="413"/>
      <c r="R989" s="413"/>
      <c r="S989" s="413"/>
      <c r="T989" s="413"/>
      <c r="U989" s="413"/>
      <c r="V989" s="413"/>
      <c r="W989" s="413"/>
      <c r="X989" s="413"/>
      <c r="Y989" s="413"/>
      <c r="Z989" s="413"/>
    </row>
    <row r="990">
      <c r="A990" s="452"/>
      <c r="B990" s="439"/>
      <c r="C990" s="454"/>
      <c r="D990" s="454"/>
      <c r="E990" s="439"/>
      <c r="F990" s="439"/>
      <c r="G990" s="454"/>
      <c r="H990" s="454"/>
      <c r="I990" s="456"/>
      <c r="J990" s="459"/>
      <c r="K990" s="458"/>
      <c r="L990" s="454"/>
      <c r="M990" s="453"/>
      <c r="N990" s="413"/>
      <c r="O990" s="413"/>
      <c r="P990" s="413"/>
      <c r="Q990" s="413"/>
      <c r="R990" s="413"/>
      <c r="S990" s="413"/>
      <c r="T990" s="413"/>
      <c r="U990" s="413"/>
      <c r="V990" s="413"/>
      <c r="W990" s="413"/>
      <c r="X990" s="413"/>
      <c r="Y990" s="413"/>
      <c r="Z990" s="413"/>
    </row>
    <row r="991">
      <c r="A991" s="452"/>
      <c r="B991" s="439"/>
      <c r="C991" s="454"/>
      <c r="D991" s="454"/>
      <c r="E991" s="439"/>
      <c r="F991" s="439"/>
      <c r="G991" s="454"/>
      <c r="H991" s="454"/>
      <c r="I991" s="456"/>
      <c r="J991" s="459"/>
      <c r="K991" s="458"/>
      <c r="L991" s="454"/>
      <c r="M991" s="453"/>
      <c r="N991" s="413"/>
      <c r="O991" s="413"/>
      <c r="P991" s="413"/>
      <c r="Q991" s="413"/>
      <c r="R991" s="413"/>
      <c r="S991" s="413"/>
      <c r="T991" s="413"/>
      <c r="U991" s="413"/>
      <c r="V991" s="413"/>
      <c r="W991" s="413"/>
      <c r="X991" s="413"/>
      <c r="Y991" s="413"/>
      <c r="Z991" s="413"/>
    </row>
    <row r="992">
      <c r="A992" s="500"/>
      <c r="C992" s="501"/>
      <c r="D992" s="501"/>
      <c r="G992" s="501"/>
      <c r="H992" s="501"/>
      <c r="I992" s="502"/>
      <c r="L992" s="501"/>
      <c r="M992" s="503"/>
    </row>
    <row r="993">
      <c r="A993" s="500"/>
      <c r="C993" s="501"/>
      <c r="D993" s="501"/>
      <c r="G993" s="501"/>
      <c r="H993" s="501"/>
      <c r="I993" s="502"/>
      <c r="L993" s="501"/>
      <c r="M993" s="503"/>
    </row>
    <row r="994">
      <c r="A994" s="500"/>
      <c r="C994" s="501"/>
      <c r="D994" s="501"/>
      <c r="G994" s="501"/>
      <c r="H994" s="501"/>
      <c r="I994" s="502"/>
      <c r="L994" s="501"/>
      <c r="M994" s="503"/>
    </row>
    <row r="995">
      <c r="A995" s="500"/>
      <c r="C995" s="501"/>
      <c r="D995" s="501"/>
      <c r="G995" s="501"/>
      <c r="H995" s="501"/>
      <c r="I995" s="502"/>
      <c r="L995" s="501"/>
      <c r="M995" s="503"/>
    </row>
  </sheetData>
  <autoFilter ref="$A$4:$G$199">
    <filterColumn colId="1">
      <filters>
        <filter val="п/п-к Томилко М.М."/>
        <filter val="п/п-к Гагін Є.Ю."/>
        <filter val="п/п-к Гуменник С.М."/>
        <filter val="п/п-к Герус В.І."/>
        <filter val="п/п-к Філенко М.М."/>
        <filter val="п/п-к Потапов В.І."/>
        <filter val="п/п-к Кошель С.М."/>
      </filters>
    </filterColumn>
  </autoFilter>
  <mergeCells count="6">
    <mergeCell ref="A1:M3"/>
    <mergeCell ref="V1:Z1"/>
    <mergeCell ref="V2:W2"/>
    <mergeCell ref="X2:Y2"/>
    <mergeCell ref="Z2:Z3"/>
    <mergeCell ref="J4:K4"/>
  </mergeCells>
  <dataValidations>
    <dataValidation type="list" allowBlank="1" sqref="M5:M994">
      <formula1>"Вивід з-під удару,Складний пілотаж,Мала висота,Гр. мала висота (ОНБ),Бойове застосування,Групова злітаність,На десантування,У складі екіпажу"</formula1>
    </dataValidation>
    <dataValidation type="list" allowBlank="1" showErrorMessage="1" sqref="B4">
      <formula1>"ПІБ"</formula1>
    </dataValidation>
    <dataValidation type="list" allowBlank="1" showErrorMessage="1" sqref="G5:G991">
      <formula1>"Бойовий,Випробувальний,Учбово-тренув.,За методиками,У складі екіпажу"</formula1>
    </dataValidation>
    <dataValidation type="list" allowBlank="1" showErrorMessage="1" sqref="B5:B991">
      <formula1>"п-к Чебаков М.М.,п/п-к Гагін Є.Ю.,п/п-к Кошель С.М.,п/п-к Черната С.С.,п-к Якименко С.М.,п/п-к Томилко М.М.,п/п-к Філенко М.М.,п/п-к Потапов В.І.,п/п-к Гуменник С.М.,п/п-к Герус В.І."</formula1>
    </dataValidation>
    <dataValidation type="list" allowBlank="1" sqref="D5:D992">
      <formula1>"ДПМУ,ДСМУ,ДВМП,НПМУ,НСМУ,НВМП"</formula1>
    </dataValidation>
    <dataValidation type="list" allowBlank="1" showErrorMessage="1" sqref="E4:E991">
      <formula1>"Ком Е,Прав П,Скл Е,Льот Ш,Борт Т"</formula1>
    </dataValidation>
    <dataValidation type="list" allowBlank="1" showErrorMessage="1" sqref="C5:C994">
      <formula1>"Су-27,МіГ-29,Ми-8,Л-39,Су-24"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7.0"/>
    <col customWidth="1" min="2" max="2" width="9.86"/>
    <col customWidth="1" min="3" max="3" width="11.71"/>
    <col customWidth="1" min="4" max="4" width="10.86"/>
    <col customWidth="1" min="5" max="5" width="11.14"/>
    <col customWidth="1" min="6" max="6" width="11.71"/>
    <col customWidth="1" min="7" max="7" width="12.14"/>
    <col customWidth="1" min="8" max="8" width="11.0"/>
    <col customWidth="1" min="9" max="9" width="11.29"/>
    <col customWidth="1" min="10" max="10" width="10.57"/>
    <col customWidth="1" min="11" max="11" width="12.0"/>
    <col customWidth="1" min="12" max="12" width="13.57"/>
    <col customWidth="1" min="13" max="15" width="8.71"/>
    <col customWidth="1" min="16" max="16" width="9.29"/>
    <col customWidth="1" min="17" max="26" width="8.71"/>
  </cols>
  <sheetData>
    <row r="1" ht="14.25" customHeight="1">
      <c r="L1" s="504" t="s">
        <v>247</v>
      </c>
      <c r="P1" s="505">
        <v>19.65277777777778</v>
      </c>
    </row>
    <row r="2" ht="14.25" customHeight="1">
      <c r="A2" s="506" t="s">
        <v>248</v>
      </c>
    </row>
    <row r="3" ht="14.25" customHeight="1"/>
    <row r="4" ht="14.25" customHeight="1">
      <c r="A4" s="507" t="s">
        <v>249</v>
      </c>
      <c r="B4" s="507" t="s">
        <v>116</v>
      </c>
      <c r="C4" s="508" t="s">
        <v>250</v>
      </c>
      <c r="D4" s="509">
        <v>46023.0</v>
      </c>
      <c r="E4" s="510">
        <v>46053.0</v>
      </c>
      <c r="F4" s="508" t="s">
        <v>251</v>
      </c>
      <c r="G4" s="415"/>
      <c r="H4" s="415"/>
      <c r="I4" s="415"/>
      <c r="J4" s="415"/>
      <c r="K4" s="415"/>
      <c r="L4" s="416"/>
    </row>
    <row r="5" ht="14.25" customHeight="1">
      <c r="A5" s="511"/>
      <c r="B5" s="511"/>
      <c r="C5" s="512" t="s">
        <v>252</v>
      </c>
      <c r="D5" s="513" t="s">
        <v>253</v>
      </c>
      <c r="E5" s="514" t="s">
        <v>254</v>
      </c>
      <c r="F5" s="512" t="s">
        <v>252</v>
      </c>
      <c r="G5" s="513" t="s">
        <v>253</v>
      </c>
      <c r="H5" s="514" t="s">
        <v>254</v>
      </c>
      <c r="I5" s="515" t="s">
        <v>255</v>
      </c>
      <c r="J5" s="415"/>
      <c r="K5" s="415"/>
      <c r="L5" s="416"/>
    </row>
    <row r="6" ht="21.0" customHeight="1">
      <c r="A6" s="516"/>
      <c r="B6" s="516"/>
      <c r="C6" s="286"/>
      <c r="D6" s="287"/>
      <c r="E6" s="517"/>
      <c r="F6" s="286"/>
      <c r="G6" s="287"/>
      <c r="H6" s="517"/>
      <c r="I6" s="518" t="s">
        <v>252</v>
      </c>
      <c r="J6" s="519" t="s">
        <v>253</v>
      </c>
      <c r="K6" s="520" t="s">
        <v>256</v>
      </c>
      <c r="L6" s="521" t="s">
        <v>257</v>
      </c>
    </row>
    <row r="7" ht="14.25" customHeight="1">
      <c r="A7" s="522" t="s">
        <v>258</v>
      </c>
      <c r="B7" s="523" t="s">
        <v>70</v>
      </c>
      <c r="C7" s="524">
        <f>SUMIFS(Main!$H$5:$H$798,Main!$C$5:$C$798,$B7,Main!$A$5:$A$798, "&gt;=" &amp;$D$4,Main!$A$5:$A$798,"&lt;=" &amp;$E$4)</f>
        <v>11</v>
      </c>
      <c r="D7" s="525">
        <f>SUMIFS(Main!$I$5:$I$798,Main!$C$5:$C$798,$B7,Main!$A$5:$A$798, "&gt;=" &amp;$D$4,Main!$A$5:$A$798,"&lt;=" &amp;$E$4)</f>
        <v>0.2888888889</v>
      </c>
      <c r="E7" s="524">
        <f>SUMIFS(Main!$L$5:$L$798,Main!$C$5:$C$798,$B7,Main!$A$5:$A$798, "&gt;=" &amp;$D$4,Main!$A$5:$A$798,"&lt;=" &amp;$E$4)</f>
        <v>0</v>
      </c>
      <c r="F7" s="524">
        <f>SUMIFS(Main!$H$5:$H$798,Main!$C$5:$C$798,$B7)+112</f>
        <v>308</v>
      </c>
      <c r="G7" s="526">
        <f>SUMIFS(Main!$I$5:$I$798,Main!$C$5:$C$798,$B7)+1.87917</f>
        <v>8.125697778</v>
      </c>
      <c r="H7" s="527">
        <f>SUMIFS(Main!$L$5:$L$798,Main!$C$5:$C$798,$B7)+56</f>
        <v>155</v>
      </c>
      <c r="I7" s="524">
        <f>SUMIFS(Main!$H$5:$H$798,Main!$C$5:$C$798,$B7,Main!$G$5:$G$798,"Випробувальний")+SUMIFS(Main!$H$5:$H$798,Main!$C$5:$C$798,$B7,Main!$G$5:$G$798,"За методиками")+40</f>
        <v>74</v>
      </c>
      <c r="J7" s="528">
        <f>SUMIFS(Main!$I$5:$I$798,Main!$C$5:$C$798,$B7,Main!$G$5:$G$798,"Випробувальний")+SUMIFS(Main!$I$5:$I$798,Main!$C$5:$C$798,$B7,Main!$G$5:$G$798,"За методиками")+0.41875</f>
        <v>2.186111111</v>
      </c>
      <c r="K7" s="524">
        <f>SUMIFS(Main!$H$5:$H$798,Main!$C$5:$C$798,$B7,Main!$G$5:$G$798,"За методиками")</f>
        <v>0</v>
      </c>
      <c r="L7" s="528">
        <f>SUMIFS(Main!$I$5:$I$798,Main!$C$5:$C$798,$B7,Main!$G$5:$G$798,"За методиками")</f>
        <v>0</v>
      </c>
      <c r="M7" s="458"/>
      <c r="N7" s="7"/>
    </row>
    <row r="8" ht="14.25" customHeight="1">
      <c r="A8" s="529" t="s">
        <v>259</v>
      </c>
      <c r="B8" s="530" t="s">
        <v>55</v>
      </c>
      <c r="C8" s="524">
        <f>SUMIFS(Main!$H$5:$H$798,Main!$C$5:$C$798,$B8,Main!$A$5:$A$798, "&gt;=" &amp;$D$4,Main!$A$5:$A$798,"&lt;=" &amp;$E$4)</f>
        <v>15</v>
      </c>
      <c r="D8" s="525">
        <f>SUMIFS(Main!$I$5:$I$798,Main!$C$5:$C$798,$B8,Main!$A$5:$A$798, "&gt;=" &amp;$D$4,Main!$A$5:$A$798,"&lt;=" &amp;$E$4)</f>
        <v>0.2645833333</v>
      </c>
      <c r="E8" s="524">
        <f>SUMIFS(Main!$L$5:$L$798,Main!$C$5:$C$798,$B8,Main!$A$5:$A$798, "&gt;=" &amp;$D$4,Main!$A$5:$A$798,"&lt;=" &amp;$E$4)</f>
        <v>0</v>
      </c>
      <c r="F8" s="524">
        <f>SUMIFS(Main!$H$5:$H$798,Main!$C$5:$C$798,$B8)+13</f>
        <v>55</v>
      </c>
      <c r="G8" s="526">
        <f>SUMIFS(Main!$I$5:$I$798,Main!$C$5:$C$798,$B8)+0.20625</f>
        <v>0.9861111111</v>
      </c>
      <c r="H8" s="531">
        <f>SUMIFS(Main!$L$5:$L$798,Main!$C$5:$C$798,$B8)</f>
        <v>2</v>
      </c>
      <c r="I8" s="524">
        <f>SUMIFS(Main!$H$5:$H$798,Main!$C$5:$C$798,$B8,Main!$G$5:$G$798,"Випробувальний")+SUMIFS(Main!$H$5:$H$798,Main!$C$5:$C$798,$B8,Main!$G$5:$G$798,"За методиками")</f>
        <v>21</v>
      </c>
      <c r="J8" s="528">
        <f>SUMIFS(Main!$I$5:$I$798,Main!$C$5:$C$798,$B8,Main!$G$5:$G$798,"Випробувальний")+SUMIFS(Main!$I$5:$I$798,Main!$C$5:$C$798,$B8,Main!$G$5:$G$798,"За методиками")</f>
        <v>0.3923611111</v>
      </c>
      <c r="K8" s="524">
        <f>SUMIFS(Main!$H$5:$H$798,Main!$C$5:$C$798,$B8,Main!$G$5:$G$798,"За методиками")</f>
        <v>20</v>
      </c>
      <c r="L8" s="528">
        <f>SUMIFS(Main!$I$5:$I$798,Main!$C$5:$C$798,$B8,Main!$G$5:$G$798,"За методиками")</f>
        <v>0.3756944444</v>
      </c>
    </row>
    <row r="9" ht="14.25" customHeight="1">
      <c r="A9" s="529" t="s">
        <v>260</v>
      </c>
      <c r="B9" s="530" t="s">
        <v>87</v>
      </c>
      <c r="C9" s="524">
        <f>SUMIFS(Main!$H$5:$H$798,Main!$C$5:$C$798,$B9,Main!$A$5:$A$798, "&gt;=" &amp;$D$4,Main!$A$5:$A$798,"&lt;=" &amp;$E$4)</f>
        <v>0</v>
      </c>
      <c r="D9" s="525">
        <f>SUMIFS(Main!$I$5:$I$798,Main!$C$5:$C$798,$B9,Main!$A$5:$A$798, "&gt;=" &amp;$D$4,Main!$A$5:$A$798,"&lt;=" &amp;$E$4)</f>
        <v>0</v>
      </c>
      <c r="E9" s="524">
        <f>SUMIFS(Main!$L$5:$L$798,Main!$C$5:$C$798,$B9,Main!$A$5:$A$798, "&gt;=" &amp;$D$4,Main!$A$5:$A$798,"&lt;=" &amp;$E$4)</f>
        <v>0</v>
      </c>
      <c r="F9" s="524">
        <f>SUMIFS(Main!$H$5:$H$798,Main!$C$5:$C$798,$B9)+2</f>
        <v>30</v>
      </c>
      <c r="G9" s="526">
        <f>SUMIFS(Main!$I$5:$I$798,Main!$C$5:$C$798,$B9)+0.05</f>
        <v>0.4756944444</v>
      </c>
      <c r="H9" s="531">
        <f>SUMIFS(Main!$L$5:$L$798,Main!$C$5:$C$798,$B9)</f>
        <v>0</v>
      </c>
      <c r="I9" s="524">
        <f>SUMIFS(Main!$H$5:$H$798,Main!$C$5:$C$798,$B9,Main!$G$5:$G$798,"Випробувальний")+SUMIFS(Main!$H$5:$H$798,Main!$C$5:$C$798,$B9,Main!$G$5:$G$798,"За методиками")</f>
        <v>8</v>
      </c>
      <c r="J9" s="528">
        <f>SUMIFS(Main!$I$5:$I$798,Main!$C$5:$C$798,$B9,Main!$G$5:$G$798,"Випробувальний")+SUMIFS(Main!$I$5:$I$798,Main!$C$5:$C$798,$B9,Main!$G$5:$G$798,"За методиками")</f>
        <v>0.1701388889</v>
      </c>
      <c r="K9" s="524">
        <f>SUMIFS(Main!$H$5:$H$798,Main!$C$5:$C$798,$B9,Main!$G$5:$G$798,"За методиками")</f>
        <v>0</v>
      </c>
      <c r="L9" s="528">
        <f>SUMIFS(Main!$I$5:$I$798,Main!$C$5:$C$798,$B9,Main!$G$5:$G$798,"За методиками")</f>
        <v>0</v>
      </c>
      <c r="M9" s="532" t="s">
        <v>261</v>
      </c>
    </row>
    <row r="10" ht="14.25" customHeight="1">
      <c r="A10" s="529" t="s">
        <v>262</v>
      </c>
      <c r="B10" s="530" t="s">
        <v>78</v>
      </c>
      <c r="C10" s="524">
        <f>SUMIFS(Main!$H$5:$H$798,Main!$C$5:$C$798,$B10,Main!$A$5:$A$798, "&gt;=" &amp;$D$4,Main!$A$5:$A$798,"&lt;=" &amp;$E$4)</f>
        <v>0</v>
      </c>
      <c r="D10" s="525">
        <f>SUMIFS(Main!$I$5:$I$798,Main!$C$5:$C$798,$B10,Main!$A$5:$A$798, "&gt;=" &amp;$D$4,Main!$A$5:$A$798,"&lt;=" &amp;$E$4)</f>
        <v>0</v>
      </c>
      <c r="E10" s="524">
        <f>SUMIFS(Main!$L$5:$L$798,Main!$C$5:$C$798,$B10,Main!$A$5:$A$798, "&gt;=" &amp;$D$4,Main!$A$5:$A$798,"&lt;=" &amp;$E$4)</f>
        <v>0</v>
      </c>
      <c r="F10" s="524">
        <f>SUMIFS(Main!$H$5:$H$798,Main!$C$5:$C$798,$B10)+35</f>
        <v>63</v>
      </c>
      <c r="G10" s="526">
        <f>SUMIFS(Main!$I$5:$I$798,Main!$C$5:$C$798,$B10)+1.25417</f>
        <v>2.197225556</v>
      </c>
      <c r="H10" s="531">
        <f>SUMIFS(Main!$L$5:$L$798,Main!$C$5:$C$798,$B10)+4</f>
        <v>8</v>
      </c>
      <c r="I10" s="524">
        <f>SUMIFS(Main!$H$5:$H$798,Main!$C$5:$C$798,$B10,Main!$G$5:$G$798,"
")+SUMIFS(Main!$H$5:$H$798,Main!$C$5:$C$798,$B10,Main!$G$5:$G$798,"За методиками")+11</f>
        <v>11</v>
      </c>
      <c r="J10" s="528">
        <f>SUMIFS(Main!$I$5:$I$798,Main!$C$5:$C$798,$B10,Main!$G$5:$G$798,"Випробувальний")+SUMIFS(Main!$I$5:$I$798,Main!$C$5:$C$798,$B10,Main!$G$5:$G$798,"За методиками")+0.41042</f>
        <v>1.136114444</v>
      </c>
      <c r="K10" s="524">
        <f>SUMIFS(Main!$H$5:$H$798,Main!$C$5:$C$798,$B10,Main!$G$5:$G$798,"За методиками")</f>
        <v>0</v>
      </c>
      <c r="L10" s="528">
        <f>SUMIFS(Main!$I$5:$I$798,Main!$C$5:$C$798,$B10,Main!$G$5:$G$798,"За методиками")</f>
        <v>0</v>
      </c>
    </row>
    <row r="11" ht="14.25" customHeight="1">
      <c r="A11" s="533" t="s">
        <v>263</v>
      </c>
      <c r="B11" s="534" t="s">
        <v>53</v>
      </c>
      <c r="C11" s="524">
        <f>SUMIFS(Main!$H$5:$H$798,Main!$C$5:$C$798,$B11,Main!$A$5:$A$798, "&gt;=" &amp;$D$4,Main!$A$5:$A$798,"&lt;=" &amp;$E$4)</f>
        <v>0</v>
      </c>
      <c r="D11" s="525">
        <f>SUMIFS(Main!$I$5:$I$798,Main!$C$5:$C$798,$B11,Main!$A$5:$A$798, "&gt;=" &amp;$D$4,Main!$A$5:$A$798,"&lt;=" &amp;$E$4)</f>
        <v>0</v>
      </c>
      <c r="E11" s="524">
        <f>SUMIFS(Main!$L$5:$L$798,Main!$C$5:$C$798,$B11,Main!$A$5:$A$798, "&gt;=" &amp;$D$4,Main!$A$5:$A$798,"&lt;=" &amp;$E$4)</f>
        <v>0</v>
      </c>
      <c r="F11" s="535">
        <f>SUMIFS(Main!$H$5:$H$798,Main!$C$5:$C$798,$B11)+3</f>
        <v>3</v>
      </c>
      <c r="G11" s="536">
        <f>SUMIFS(Main!$I$5:$I$798,Main!$C$5:$C$798,$B11)+0.05972</f>
        <v>0.05972</v>
      </c>
      <c r="H11" s="521">
        <f>SUMIFS(Main!$L$5:$L$798,Main!$C$5:$C$798,$B11)</f>
        <v>0</v>
      </c>
      <c r="I11" s="524">
        <f>SUMIFS(Main!$H$5:$H$798,Main!$C$5:$C$798,$B11,Main!$G$5:$G$798,"
")+SUMIFS(Main!$H$5:$H$798,Main!$C$5:$C$798,$B11,Main!$G$5:$G$798,"За методиками")</f>
        <v>0</v>
      </c>
      <c r="J11" s="528">
        <f>SUMIFS(Main!$I$5:$I$798,Main!$C$5:$C$798,$B11,Main!$G$5:$G$798,"Випробувальни")+SUMIFS(Main!$I$5:$I$798,Main!$C$5:$C$798,$B11,Main!$G$5:$G$798,"За методиками")</f>
        <v>0</v>
      </c>
      <c r="K11" s="524">
        <f>SUMIFS(Main!$H$5:$H$798,Main!$C$5:$C$798,$B11,Main!$G$5:$G$798,"За методиками")</f>
        <v>0</v>
      </c>
      <c r="L11" s="528">
        <f>SUMIFS(Main!$I$5:$I$798,Main!$C$5:$C$798,$B11,Main!$G$5:$G$798,"За методиками")</f>
        <v>0</v>
      </c>
    </row>
    <row r="12" ht="14.25" customHeight="1">
      <c r="A12" s="537" t="s">
        <v>264</v>
      </c>
      <c r="B12" s="538"/>
      <c r="C12" s="539">
        <f>SUM(C7:C10)</f>
        <v>26</v>
      </c>
      <c r="D12" s="540">
        <f t="shared" ref="D12:L12" si="1">SUM(D7:D11)</f>
        <v>0.5534722222</v>
      </c>
      <c r="E12" s="541">
        <f t="shared" si="1"/>
        <v>0</v>
      </c>
      <c r="F12" s="539">
        <f t="shared" si="1"/>
        <v>459</v>
      </c>
      <c r="G12" s="540">
        <f t="shared" si="1"/>
        <v>11.84444889</v>
      </c>
      <c r="H12" s="541">
        <f t="shared" si="1"/>
        <v>165</v>
      </c>
      <c r="I12" s="539">
        <f t="shared" si="1"/>
        <v>114</v>
      </c>
      <c r="J12" s="542">
        <f t="shared" si="1"/>
        <v>3.884725556</v>
      </c>
      <c r="K12" s="539">
        <f t="shared" si="1"/>
        <v>20</v>
      </c>
      <c r="L12" s="542">
        <f t="shared" si="1"/>
        <v>0.3756944444</v>
      </c>
    </row>
    <row r="13" ht="14.25" customHeight="1">
      <c r="A13" s="543" t="s">
        <v>265</v>
      </c>
      <c r="B13" s="544"/>
      <c r="C13" s="544"/>
      <c r="D13" s="545" t="s">
        <v>266</v>
      </c>
      <c r="E13" s="19"/>
      <c r="F13" s="19"/>
      <c r="G13" s="546" t="s">
        <v>267</v>
      </c>
      <c r="H13" s="547">
        <f>SUM(C12)</f>
        <v>26</v>
      </c>
      <c r="I13" s="504" t="s">
        <v>268</v>
      </c>
      <c r="J13" s="548">
        <f>SUM(D12)</f>
        <v>0.5534722222</v>
      </c>
      <c r="K13" s="7"/>
    </row>
    <row r="14" ht="14.25" customHeight="1">
      <c r="A14" s="549"/>
      <c r="B14" s="549"/>
      <c r="C14" s="549"/>
      <c r="D14" s="550" t="s">
        <v>269</v>
      </c>
      <c r="G14" s="551" t="s">
        <v>267</v>
      </c>
      <c r="H14" s="547" t="str">
        <f>CONCATENATE(SUMIFS(Main!$H$5:$H$798,Main!$G$5:$G$798,"Випробувальний",Main!$A$5:$A$798, "&gt;=" &amp;$D$4,Main!$A$5:$A$798,"&lt;=" &amp;$E$4)+SUMIFS(Main!$H$5:$H$798,Main!$G$5:$G$798,"За методиками",Main!$A$5:$A$798, "&gt;=" &amp;$D$4,Main!$A$5:$A$798,"&lt;=" &amp;$E$4)," (",SUMIFS(Main!$H$5:$H$798,Main!$G$5:$G$798,"За методиками",Main!$A$5:$A$798, "&gt;=" &amp;$D$4,Main!$A$5:$A$798,"&lt;=" &amp;$E$4),")")</f>
        <v>2 (0)</v>
      </c>
      <c r="I14" s="552" t="s">
        <v>268</v>
      </c>
      <c r="J14" s="553" t="str">
        <f>CONCATENATE(Text(SUMIFS(Main!$I$5:$I$798,Main!$G$5:$G$798,"Випробувальний",Main!$A$5:$A$798, "&gt;=" &amp;$D$4,Main!$A$5:$A$798,"&lt;=" &amp;$E$4)+SUMIFS(Main!$I$5:$I$798,Main!$G$5:$G$798,"За методиками",Main!$A$5:$A$798, "&gt;=" &amp;$D$4,Main!$A$5:$A$798,"&lt;=" &amp;$E$4),"[hh]:mm")," (",Text(SUMIFS(Main!$I$5:$I$798,Main!$G$5:$G$798,"За методиками",Main!$A$5:$A$798, "&gt;=" &amp;$D$4,Main!$A$5:$A$798,"&lt;=" &amp;$E$4),"[hh]:mm"),")")</f>
        <v>01:34 (00:00)</v>
      </c>
    </row>
    <row r="15" ht="18.0" customHeight="1">
      <c r="D15" s="554" t="s">
        <v>270</v>
      </c>
      <c r="G15" s="555">
        <f>G12/P1</f>
        <v>0.6026857385</v>
      </c>
      <c r="H15" s="7"/>
      <c r="I15" s="7"/>
      <c r="L15" s="7"/>
      <c r="M15" s="7"/>
      <c r="N15" s="7"/>
      <c r="O15" s="7"/>
      <c r="P15" s="7"/>
      <c r="Q15" s="7"/>
      <c r="R15" s="7"/>
      <c r="S15" s="7"/>
      <c r="T15" s="7"/>
      <c r="U15" s="7"/>
      <c r="V15" s="7"/>
      <c r="W15" s="7"/>
      <c r="X15" s="7"/>
      <c r="Y15" s="7"/>
      <c r="Z15" s="7"/>
    </row>
    <row r="16" ht="16.5" customHeight="1">
      <c r="A16" s="556" t="s">
        <v>271</v>
      </c>
      <c r="B16" s="556"/>
      <c r="C16" s="556"/>
    </row>
    <row r="17" ht="18.0" hidden="1" customHeight="1">
      <c r="A17" s="557"/>
      <c r="B17" s="557"/>
      <c r="C17" s="557"/>
      <c r="D17" s="557"/>
      <c r="E17" s="557"/>
      <c r="F17" s="557"/>
      <c r="G17" s="557"/>
      <c r="H17" s="557"/>
      <c r="I17" s="557"/>
      <c r="J17" s="557"/>
      <c r="K17" s="557"/>
      <c r="L17" s="557"/>
    </row>
    <row r="18" ht="15.0" customHeight="1">
      <c r="A18" s="558" t="s">
        <v>272</v>
      </c>
    </row>
    <row r="19" ht="72.0" customHeight="1"/>
    <row r="20" ht="18.75" customHeight="1"/>
    <row r="21" ht="17.25" hidden="1" customHeight="1"/>
    <row r="22" ht="18.0" hidden="1" customHeight="1"/>
    <row r="23" ht="12.75" customHeight="1"/>
    <row r="24" ht="18.0" customHeight="1">
      <c r="A24" s="550" t="s">
        <v>273</v>
      </c>
      <c r="B24" s="550"/>
      <c r="C24" s="550"/>
      <c r="D24" s="550"/>
      <c r="E24" s="550"/>
      <c r="F24" s="550"/>
      <c r="G24" s="550"/>
      <c r="H24" s="549"/>
      <c r="I24" s="549"/>
      <c r="J24" s="549"/>
      <c r="L24" s="552"/>
    </row>
    <row r="25" ht="14.25" customHeight="1">
      <c r="A25" s="559"/>
      <c r="B25" s="559"/>
      <c r="C25" s="559"/>
      <c r="D25" s="559"/>
      <c r="E25" s="559"/>
      <c r="F25" s="559"/>
      <c r="G25" s="559"/>
      <c r="H25" s="559"/>
      <c r="I25" s="559"/>
      <c r="J25" s="559"/>
      <c r="K25" s="559"/>
      <c r="L25" s="560"/>
    </row>
    <row r="26" ht="14.25" customHeight="1">
      <c r="L26" s="560"/>
    </row>
    <row r="27" ht="14.25" customHeight="1">
      <c r="L27" s="560"/>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F5:F6"/>
    <mergeCell ref="G5:G6"/>
    <mergeCell ref="D13:F13"/>
    <mergeCell ref="D14:F14"/>
    <mergeCell ref="D15:F15"/>
    <mergeCell ref="A18:L23"/>
    <mergeCell ref="F4:L4"/>
    <mergeCell ref="I5:L5"/>
    <mergeCell ref="A2:J2"/>
    <mergeCell ref="A4:A6"/>
    <mergeCell ref="B4:B6"/>
    <mergeCell ref="C5:C6"/>
    <mergeCell ref="D5:D6"/>
    <mergeCell ref="E5:E6"/>
    <mergeCell ref="H5:H6"/>
  </mergeCells>
  <printOptions/>
  <pageMargins bottom="0.7480314960629921" footer="0.0" header="0.0" left="0.2362204724409449" right="0.2362204724409449" top="0.7480314960629921"/>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6.0"/>
    <col customWidth="1" min="2" max="2" width="38.57"/>
  </cols>
  <sheetData>
    <row r="1">
      <c r="A1" s="561" t="s">
        <v>274</v>
      </c>
      <c r="B1" s="561" t="s">
        <v>275</v>
      </c>
    </row>
    <row r="2">
      <c r="A2" s="561" t="s">
        <v>115</v>
      </c>
      <c r="B2" s="561" t="s">
        <v>71</v>
      </c>
    </row>
    <row r="3">
      <c r="A3" s="561" t="s">
        <v>276</v>
      </c>
      <c r="B3" s="561" t="s">
        <v>277</v>
      </c>
    </row>
    <row r="4">
      <c r="A4" s="561" t="s">
        <v>278</v>
      </c>
      <c r="B4" s="561">
        <v>1.2345678E7</v>
      </c>
    </row>
    <row r="6">
      <c r="A6" s="561" t="s">
        <v>279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0"/>
    <col customWidth="1" min="2" max="2" width="20.29"/>
    <col customWidth="1" min="4" max="4" width="26.14"/>
    <col customWidth="1" min="5" max="6" width="33.86"/>
  </cols>
  <sheetData>
    <row r="1">
      <c r="A1" s="413" t="s">
        <v>280</v>
      </c>
      <c r="B1" s="413" t="s">
        <v>115</v>
      </c>
      <c r="C1" s="561" t="s">
        <v>281</v>
      </c>
      <c r="D1" s="561" t="s">
        <v>282</v>
      </c>
      <c r="E1" s="561" t="s">
        <v>283</v>
      </c>
    </row>
    <row r="2">
      <c r="A2" s="562" t="s">
        <v>284</v>
      </c>
      <c r="B2" s="561" t="s">
        <v>80</v>
      </c>
      <c r="C2" s="561" t="s">
        <v>277</v>
      </c>
      <c r="D2" s="561" t="s">
        <v>285</v>
      </c>
      <c r="E2" s="561" t="s">
        <v>286</v>
      </c>
    </row>
    <row r="3">
      <c r="A3" s="561" t="s">
        <v>287</v>
      </c>
      <c r="B3" s="561" t="s">
        <v>83</v>
      </c>
      <c r="C3" s="561" t="s">
        <v>288</v>
      </c>
      <c r="D3" s="561" t="s">
        <v>289</v>
      </c>
      <c r="E3" s="561" t="s">
        <v>290</v>
      </c>
    </row>
    <row r="4">
      <c r="A4" s="561" t="s">
        <v>291</v>
      </c>
      <c r="B4" s="561" t="s">
        <v>77</v>
      </c>
      <c r="C4" s="561" t="s">
        <v>288</v>
      </c>
      <c r="D4" s="561" t="s">
        <v>292</v>
      </c>
      <c r="E4" s="561" t="s">
        <v>293</v>
      </c>
    </row>
    <row r="5">
      <c r="A5" s="561" t="s">
        <v>294</v>
      </c>
      <c r="B5" s="561" t="s">
        <v>64</v>
      </c>
      <c r="C5" s="561" t="s">
        <v>277</v>
      </c>
      <c r="D5" s="561" t="s">
        <v>295</v>
      </c>
      <c r="E5" s="561" t="s">
        <v>296</v>
      </c>
    </row>
    <row r="6">
      <c r="A6" s="561" t="s">
        <v>297</v>
      </c>
      <c r="B6" s="561" t="s">
        <v>84</v>
      </c>
      <c r="C6" s="561" t="s">
        <v>288</v>
      </c>
      <c r="D6" s="561" t="s">
        <v>298</v>
      </c>
      <c r="E6" s="561" t="s">
        <v>299</v>
      </c>
    </row>
    <row r="7">
      <c r="A7" s="561" t="s">
        <v>300</v>
      </c>
      <c r="B7" s="561" t="s">
        <v>86</v>
      </c>
      <c r="C7" s="561" t="s">
        <v>288</v>
      </c>
      <c r="D7" s="561" t="s">
        <v>301</v>
      </c>
      <c r="E7" s="561" t="s">
        <v>302</v>
      </c>
    </row>
    <row r="8">
      <c r="A8" s="561" t="s">
        <v>303</v>
      </c>
      <c r="B8" s="561" t="s">
        <v>67</v>
      </c>
      <c r="C8" s="561" t="s">
        <v>288</v>
      </c>
      <c r="D8" s="561" t="s">
        <v>304</v>
      </c>
      <c r="E8" s="561" t="s">
        <v>305</v>
      </c>
    </row>
    <row r="9">
      <c r="A9" s="561" t="s">
        <v>275</v>
      </c>
      <c r="B9" s="561" t="s">
        <v>71</v>
      </c>
      <c r="C9" s="561" t="s">
        <v>277</v>
      </c>
      <c r="D9" s="561" t="s">
        <v>306</v>
      </c>
      <c r="E9" s="561" t="s">
        <v>307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3.14"/>
    <col customWidth="1" min="3" max="3" width="24.29"/>
  </cols>
  <sheetData>
    <row r="1">
      <c r="A1" s="561" t="s">
        <v>308</v>
      </c>
      <c r="B1" s="561" t="s">
        <v>309</v>
      </c>
      <c r="C1" s="563" t="s">
        <v>310</v>
      </c>
    </row>
    <row r="2">
      <c r="A2" s="561" t="s">
        <v>311</v>
      </c>
      <c r="B2" s="561" t="s">
        <v>284</v>
      </c>
      <c r="C2" s="563" t="s">
        <v>312</v>
      </c>
    </row>
    <row r="3">
      <c r="A3" s="561" t="s">
        <v>313</v>
      </c>
      <c r="B3" s="561" t="s">
        <v>284</v>
      </c>
      <c r="C3" s="563" t="s">
        <v>314</v>
      </c>
    </row>
    <row r="4">
      <c r="A4" s="561" t="s">
        <v>315</v>
      </c>
      <c r="B4" s="561" t="s">
        <v>284</v>
      </c>
      <c r="C4" s="563" t="s">
        <v>316</v>
      </c>
    </row>
    <row r="5">
      <c r="A5" s="561" t="s">
        <v>317</v>
      </c>
      <c r="B5" s="561" t="s">
        <v>284</v>
      </c>
      <c r="C5" s="563" t="s">
        <v>318</v>
      </c>
    </row>
    <row r="6">
      <c r="A6" s="561" t="s">
        <v>319</v>
      </c>
      <c r="B6" s="561" t="s">
        <v>284</v>
      </c>
      <c r="C6" s="563" t="s">
        <v>320</v>
      </c>
    </row>
    <row r="7">
      <c r="A7" s="561" t="s">
        <v>321</v>
      </c>
      <c r="B7" s="561" t="s">
        <v>284</v>
      </c>
      <c r="C7" s="563" t="s">
        <v>322</v>
      </c>
    </row>
    <row r="8">
      <c r="A8" s="561" t="s">
        <v>323</v>
      </c>
      <c r="B8" s="561" t="s">
        <v>284</v>
      </c>
      <c r="C8" s="563" t="s">
        <v>324</v>
      </c>
    </row>
    <row r="9">
      <c r="A9" s="561" t="s">
        <v>325</v>
      </c>
      <c r="B9" s="561" t="s">
        <v>284</v>
      </c>
      <c r="C9" s="563" t="s">
        <v>326</v>
      </c>
    </row>
    <row r="10">
      <c r="A10" s="561" t="s">
        <v>327</v>
      </c>
      <c r="B10" s="561" t="s">
        <v>284</v>
      </c>
      <c r="C10" s="563" t="s">
        <v>328</v>
      </c>
    </row>
    <row r="11">
      <c r="A11" s="561" t="s">
        <v>329</v>
      </c>
      <c r="B11" s="561" t="s">
        <v>284</v>
      </c>
      <c r="C11" s="563" t="s">
        <v>330</v>
      </c>
    </row>
    <row r="12">
      <c r="A12" s="561" t="s">
        <v>331</v>
      </c>
      <c r="B12" s="561" t="s">
        <v>284</v>
      </c>
      <c r="C12" s="563" t="s">
        <v>332</v>
      </c>
    </row>
    <row r="13">
      <c r="A13" s="561" t="s">
        <v>333</v>
      </c>
      <c r="B13" s="561" t="s">
        <v>284</v>
      </c>
      <c r="C13" s="563" t="s">
        <v>334</v>
      </c>
    </row>
    <row r="14">
      <c r="A14" s="561" t="s">
        <v>335</v>
      </c>
      <c r="B14" s="561" t="s">
        <v>284</v>
      </c>
      <c r="C14" s="563" t="s">
        <v>336</v>
      </c>
    </row>
    <row r="15">
      <c r="A15" s="561" t="s">
        <v>337</v>
      </c>
      <c r="B15" s="561" t="s">
        <v>284</v>
      </c>
      <c r="C15" s="563" t="s">
        <v>338</v>
      </c>
    </row>
    <row r="16">
      <c r="A16" s="561" t="s">
        <v>339</v>
      </c>
      <c r="B16" s="561" t="s">
        <v>284</v>
      </c>
      <c r="C16" s="563" t="s">
        <v>340</v>
      </c>
    </row>
    <row r="17">
      <c r="A17" s="561" t="s">
        <v>341</v>
      </c>
      <c r="B17" s="561" t="s">
        <v>284</v>
      </c>
      <c r="C17" s="563" t="s">
        <v>342</v>
      </c>
    </row>
    <row r="18">
      <c r="A18" s="561" t="s">
        <v>343</v>
      </c>
      <c r="B18" s="561" t="s">
        <v>284</v>
      </c>
      <c r="C18" s="563" t="s">
        <v>344</v>
      </c>
    </row>
    <row r="19">
      <c r="A19" s="561" t="s">
        <v>345</v>
      </c>
      <c r="B19" s="561" t="s">
        <v>284</v>
      </c>
      <c r="C19" s="563" t="s">
        <v>346</v>
      </c>
    </row>
    <row r="20">
      <c r="A20" s="561" t="s">
        <v>347</v>
      </c>
      <c r="B20" s="561" t="s">
        <v>284</v>
      </c>
      <c r="C20" s="563" t="s">
        <v>348</v>
      </c>
    </row>
    <row r="21">
      <c r="A21" s="561" t="s">
        <v>349</v>
      </c>
      <c r="B21" s="561" t="s">
        <v>284</v>
      </c>
      <c r="C21" s="563" t="s">
        <v>350</v>
      </c>
    </row>
    <row r="22">
      <c r="A22" s="561" t="s">
        <v>351</v>
      </c>
      <c r="B22" s="561" t="s">
        <v>284</v>
      </c>
      <c r="C22" s="563" t="s">
        <v>352</v>
      </c>
    </row>
    <row r="23">
      <c r="A23" s="561" t="s">
        <v>353</v>
      </c>
      <c r="B23" s="561" t="s">
        <v>284</v>
      </c>
      <c r="C23" s="563" t="s">
        <v>354</v>
      </c>
    </row>
    <row r="24">
      <c r="A24" s="561" t="s">
        <v>355</v>
      </c>
      <c r="B24" s="561" t="s">
        <v>284</v>
      </c>
      <c r="C24" s="563" t="s">
        <v>356</v>
      </c>
    </row>
    <row r="25">
      <c r="A25" s="561" t="s">
        <v>357</v>
      </c>
      <c r="B25" s="561" t="s">
        <v>284</v>
      </c>
      <c r="C25" s="563" t="s">
        <v>358</v>
      </c>
    </row>
    <row r="26">
      <c r="A26" s="561" t="s">
        <v>359</v>
      </c>
      <c r="B26" s="561" t="s">
        <v>284</v>
      </c>
      <c r="C26" s="563" t="s">
        <v>360</v>
      </c>
    </row>
    <row r="27">
      <c r="A27" s="561" t="s">
        <v>361</v>
      </c>
      <c r="B27" s="561" t="s">
        <v>284</v>
      </c>
      <c r="C27" s="563" t="s">
        <v>362</v>
      </c>
    </row>
    <row r="28">
      <c r="A28" s="561" t="s">
        <v>363</v>
      </c>
      <c r="B28" s="561" t="s">
        <v>284</v>
      </c>
      <c r="C28" s="563" t="s">
        <v>364</v>
      </c>
    </row>
    <row r="29">
      <c r="A29" s="561" t="s">
        <v>365</v>
      </c>
      <c r="B29" s="561" t="s">
        <v>284</v>
      </c>
      <c r="C29" s="563" t="s">
        <v>366</v>
      </c>
    </row>
    <row r="30">
      <c r="A30" s="561" t="s">
        <v>367</v>
      </c>
      <c r="B30" s="561" t="s">
        <v>284</v>
      </c>
      <c r="C30" s="563" t="s">
        <v>368</v>
      </c>
    </row>
    <row r="31">
      <c r="A31" s="561" t="s">
        <v>369</v>
      </c>
      <c r="B31" s="561" t="s">
        <v>284</v>
      </c>
      <c r="C31" s="563" t="s">
        <v>370</v>
      </c>
    </row>
    <row r="32">
      <c r="A32" s="561" t="s">
        <v>371</v>
      </c>
      <c r="B32" s="561" t="s">
        <v>284</v>
      </c>
      <c r="C32" s="563" t="s">
        <v>372</v>
      </c>
    </row>
    <row r="33">
      <c r="A33" s="561" t="s">
        <v>373</v>
      </c>
      <c r="B33" s="561" t="s">
        <v>284</v>
      </c>
      <c r="C33" s="563" t="s">
        <v>374</v>
      </c>
    </row>
    <row r="34">
      <c r="A34" s="561" t="s">
        <v>375</v>
      </c>
      <c r="B34" s="561" t="s">
        <v>284</v>
      </c>
      <c r="C34" s="563" t="s">
        <v>376</v>
      </c>
    </row>
    <row r="35">
      <c r="A35" s="561" t="s">
        <v>377</v>
      </c>
      <c r="B35" s="561" t="s">
        <v>284</v>
      </c>
      <c r="C35" s="563" t="s">
        <v>378</v>
      </c>
    </row>
    <row r="36">
      <c r="A36" s="561" t="s">
        <v>379</v>
      </c>
      <c r="B36" s="561" t="s">
        <v>284</v>
      </c>
      <c r="C36" s="563" t="s">
        <v>380</v>
      </c>
    </row>
    <row r="37">
      <c r="A37" s="561" t="s">
        <v>381</v>
      </c>
      <c r="B37" s="561" t="s">
        <v>284</v>
      </c>
      <c r="C37" s="563" t="s">
        <v>382</v>
      </c>
    </row>
    <row r="38">
      <c r="A38" s="561" t="s">
        <v>383</v>
      </c>
      <c r="B38" s="561" t="s">
        <v>284</v>
      </c>
      <c r="C38" s="563" t="s">
        <v>384</v>
      </c>
    </row>
    <row r="39">
      <c r="A39" s="561" t="s">
        <v>385</v>
      </c>
      <c r="B39" s="561" t="s">
        <v>287</v>
      </c>
      <c r="C39" s="563" t="s">
        <v>386</v>
      </c>
    </row>
    <row r="40">
      <c r="A40" s="561" t="s">
        <v>387</v>
      </c>
      <c r="B40" s="561" t="s">
        <v>287</v>
      </c>
      <c r="C40" s="563" t="s">
        <v>388</v>
      </c>
    </row>
    <row r="41">
      <c r="A41" s="561" t="s">
        <v>389</v>
      </c>
      <c r="B41" s="561" t="s">
        <v>287</v>
      </c>
      <c r="C41" s="563" t="s">
        <v>390</v>
      </c>
    </row>
    <row r="42">
      <c r="A42" s="561" t="s">
        <v>391</v>
      </c>
      <c r="B42" s="561" t="s">
        <v>287</v>
      </c>
      <c r="C42" s="563" t="s">
        <v>392</v>
      </c>
    </row>
    <row r="43">
      <c r="A43" s="561" t="s">
        <v>393</v>
      </c>
      <c r="B43" s="561" t="s">
        <v>287</v>
      </c>
      <c r="C43" s="563" t="s">
        <v>394</v>
      </c>
    </row>
    <row r="44">
      <c r="A44" s="561" t="s">
        <v>395</v>
      </c>
      <c r="B44" s="561" t="s">
        <v>287</v>
      </c>
      <c r="C44" s="563" t="s">
        <v>396</v>
      </c>
    </row>
    <row r="45">
      <c r="A45" s="561" t="s">
        <v>397</v>
      </c>
      <c r="B45" s="561" t="s">
        <v>287</v>
      </c>
      <c r="C45" s="563" t="s">
        <v>398</v>
      </c>
    </row>
    <row r="46">
      <c r="A46" s="561" t="s">
        <v>399</v>
      </c>
      <c r="B46" s="561" t="s">
        <v>284</v>
      </c>
      <c r="C46" s="563" t="s">
        <v>400</v>
      </c>
    </row>
    <row r="47">
      <c r="A47" s="561" t="s">
        <v>401</v>
      </c>
      <c r="B47" s="561" t="s">
        <v>284</v>
      </c>
      <c r="C47" s="563" t="s">
        <v>402</v>
      </c>
    </row>
    <row r="48">
      <c r="A48" s="561" t="s">
        <v>403</v>
      </c>
      <c r="B48" s="561" t="s">
        <v>284</v>
      </c>
      <c r="C48" s="563" t="s">
        <v>404</v>
      </c>
    </row>
    <row r="49">
      <c r="A49" s="561" t="s">
        <v>405</v>
      </c>
      <c r="B49" s="561" t="s">
        <v>284</v>
      </c>
      <c r="C49" s="563" t="s">
        <v>406</v>
      </c>
    </row>
    <row r="50">
      <c r="A50" s="561" t="s">
        <v>407</v>
      </c>
      <c r="B50" s="561" t="s">
        <v>284</v>
      </c>
      <c r="C50" s="563" t="s">
        <v>408</v>
      </c>
    </row>
    <row r="51">
      <c r="A51" s="561" t="s">
        <v>409</v>
      </c>
      <c r="B51" s="561" t="s">
        <v>284</v>
      </c>
      <c r="C51" s="563" t="s">
        <v>410</v>
      </c>
    </row>
    <row r="52">
      <c r="A52" s="561" t="s">
        <v>411</v>
      </c>
      <c r="B52" s="561" t="s">
        <v>284</v>
      </c>
      <c r="C52" s="563" t="s">
        <v>412</v>
      </c>
    </row>
    <row r="53">
      <c r="A53" s="561" t="s">
        <v>413</v>
      </c>
      <c r="B53" s="561" t="s">
        <v>284</v>
      </c>
      <c r="C53" s="563" t="s">
        <v>414</v>
      </c>
    </row>
    <row r="54">
      <c r="A54" s="561" t="s">
        <v>415</v>
      </c>
      <c r="B54" s="561" t="s">
        <v>284</v>
      </c>
      <c r="C54" s="563" t="s">
        <v>416</v>
      </c>
    </row>
    <row r="55">
      <c r="A55" s="561" t="s">
        <v>417</v>
      </c>
      <c r="B55" s="561" t="s">
        <v>284</v>
      </c>
      <c r="C55" s="563" t="s">
        <v>418</v>
      </c>
    </row>
    <row r="56">
      <c r="A56" s="561" t="s">
        <v>419</v>
      </c>
      <c r="B56" s="561" t="s">
        <v>284</v>
      </c>
      <c r="C56" s="563" t="s">
        <v>420</v>
      </c>
    </row>
    <row r="57">
      <c r="A57" s="561" t="s">
        <v>421</v>
      </c>
      <c r="B57" s="561" t="s">
        <v>284</v>
      </c>
      <c r="C57" s="563" t="s">
        <v>422</v>
      </c>
    </row>
    <row r="58">
      <c r="A58" s="561" t="s">
        <v>423</v>
      </c>
      <c r="B58" s="561" t="s">
        <v>284</v>
      </c>
      <c r="C58" s="563" t="s">
        <v>424</v>
      </c>
    </row>
    <row r="59">
      <c r="A59" s="561" t="s">
        <v>425</v>
      </c>
      <c r="B59" s="561" t="s">
        <v>284</v>
      </c>
      <c r="C59" s="563" t="s">
        <v>426</v>
      </c>
    </row>
    <row r="60">
      <c r="A60" s="561" t="s">
        <v>427</v>
      </c>
      <c r="B60" s="561" t="s">
        <v>284</v>
      </c>
      <c r="C60" s="563" t="s">
        <v>428</v>
      </c>
    </row>
    <row r="61">
      <c r="A61" s="561" t="s">
        <v>429</v>
      </c>
      <c r="B61" s="561" t="s">
        <v>284</v>
      </c>
      <c r="C61" s="563" t="s">
        <v>430</v>
      </c>
    </row>
    <row r="62">
      <c r="A62" s="561" t="s">
        <v>431</v>
      </c>
      <c r="B62" s="561" t="s">
        <v>284</v>
      </c>
      <c r="C62" s="563" t="s">
        <v>432</v>
      </c>
    </row>
    <row r="63">
      <c r="A63" s="561" t="s">
        <v>433</v>
      </c>
      <c r="B63" s="561" t="s">
        <v>284</v>
      </c>
      <c r="C63" s="563" t="s">
        <v>434</v>
      </c>
    </row>
    <row r="64">
      <c r="A64" s="561" t="s">
        <v>435</v>
      </c>
      <c r="B64" s="561" t="s">
        <v>284</v>
      </c>
      <c r="C64" s="563" t="s">
        <v>436</v>
      </c>
    </row>
    <row r="65">
      <c r="A65" s="561" t="s">
        <v>437</v>
      </c>
      <c r="B65" s="561" t="s">
        <v>284</v>
      </c>
      <c r="C65" s="563" t="s">
        <v>438</v>
      </c>
    </row>
    <row r="66">
      <c r="A66" s="561" t="s">
        <v>439</v>
      </c>
      <c r="B66" s="561" t="s">
        <v>284</v>
      </c>
      <c r="C66" s="563" t="s">
        <v>440</v>
      </c>
    </row>
    <row r="67">
      <c r="A67" s="561" t="s">
        <v>441</v>
      </c>
      <c r="B67" s="561" t="s">
        <v>284</v>
      </c>
      <c r="C67" s="563" t="s">
        <v>442</v>
      </c>
    </row>
    <row r="68">
      <c r="A68" s="561" t="s">
        <v>443</v>
      </c>
      <c r="B68" s="561" t="s">
        <v>284</v>
      </c>
      <c r="C68" s="563" t="s">
        <v>444</v>
      </c>
    </row>
    <row r="69">
      <c r="A69" s="561" t="s">
        <v>445</v>
      </c>
      <c r="B69" s="561" t="s">
        <v>284</v>
      </c>
      <c r="C69" s="563" t="s">
        <v>446</v>
      </c>
    </row>
    <row r="70">
      <c r="A70" s="561" t="s">
        <v>447</v>
      </c>
      <c r="B70" s="561" t="s">
        <v>284</v>
      </c>
      <c r="C70" s="563" t="s">
        <v>448</v>
      </c>
    </row>
    <row r="71">
      <c r="A71" s="561" t="s">
        <v>449</v>
      </c>
      <c r="B71" s="561" t="s">
        <v>284</v>
      </c>
      <c r="C71" s="563" t="s">
        <v>450</v>
      </c>
    </row>
    <row r="72">
      <c r="A72" s="561" t="s">
        <v>451</v>
      </c>
      <c r="B72" s="561" t="s">
        <v>287</v>
      </c>
      <c r="C72" s="563" t="s">
        <v>452</v>
      </c>
    </row>
    <row r="73">
      <c r="A73" s="561" t="s">
        <v>453</v>
      </c>
      <c r="B73" s="561" t="s">
        <v>284</v>
      </c>
      <c r="C73" s="563" t="s">
        <v>454</v>
      </c>
    </row>
    <row r="74">
      <c r="A74" s="561" t="s">
        <v>455</v>
      </c>
      <c r="B74" s="561" t="s">
        <v>284</v>
      </c>
      <c r="C74" s="563" t="s">
        <v>456</v>
      </c>
    </row>
    <row r="75">
      <c r="A75" s="561" t="s">
        <v>457</v>
      </c>
      <c r="B75" s="561" t="s">
        <v>284</v>
      </c>
      <c r="C75" s="563" t="s">
        <v>458</v>
      </c>
    </row>
    <row r="76">
      <c r="A76" s="561" t="s">
        <v>459</v>
      </c>
      <c r="B76" s="561" t="s">
        <v>284</v>
      </c>
      <c r="C76" s="563" t="s">
        <v>460</v>
      </c>
    </row>
    <row r="77">
      <c r="A77" s="561" t="s">
        <v>461</v>
      </c>
      <c r="B77" s="561" t="s">
        <v>284</v>
      </c>
      <c r="C77" s="563" t="s">
        <v>462</v>
      </c>
    </row>
    <row r="78">
      <c r="A78" s="561" t="s">
        <v>463</v>
      </c>
      <c r="B78" s="561" t="s">
        <v>284</v>
      </c>
      <c r="C78" s="563" t="s">
        <v>464</v>
      </c>
    </row>
    <row r="79">
      <c r="A79" s="561" t="s">
        <v>465</v>
      </c>
      <c r="B79" s="561" t="s">
        <v>284</v>
      </c>
      <c r="C79" s="563" t="s">
        <v>466</v>
      </c>
    </row>
    <row r="80">
      <c r="A80" s="561" t="s">
        <v>467</v>
      </c>
      <c r="B80" s="561" t="s">
        <v>284</v>
      </c>
      <c r="C80" s="563" t="s">
        <v>468</v>
      </c>
    </row>
    <row r="81">
      <c r="A81" s="561" t="s">
        <v>469</v>
      </c>
      <c r="B81" s="561" t="s">
        <v>284</v>
      </c>
      <c r="C81" s="563" t="s">
        <v>470</v>
      </c>
    </row>
    <row r="82">
      <c r="A82" s="561" t="s">
        <v>471</v>
      </c>
      <c r="B82" s="561" t="s">
        <v>284</v>
      </c>
      <c r="C82" s="563" t="s">
        <v>472</v>
      </c>
    </row>
    <row r="83">
      <c r="A83" s="561" t="s">
        <v>473</v>
      </c>
      <c r="B83" s="561" t="s">
        <v>284</v>
      </c>
      <c r="C83" s="563" t="s">
        <v>474</v>
      </c>
    </row>
    <row r="84">
      <c r="A84" s="561" t="s">
        <v>475</v>
      </c>
      <c r="B84" s="561" t="s">
        <v>284</v>
      </c>
      <c r="C84" s="563" t="s">
        <v>476</v>
      </c>
    </row>
    <row r="85">
      <c r="A85" s="561" t="s">
        <v>477</v>
      </c>
      <c r="B85" s="561" t="s">
        <v>284</v>
      </c>
      <c r="C85" s="563" t="s">
        <v>478</v>
      </c>
    </row>
    <row r="86">
      <c r="A86" s="561" t="s">
        <v>479</v>
      </c>
      <c r="B86" s="561" t="s">
        <v>284</v>
      </c>
      <c r="C86" s="563" t="s">
        <v>480</v>
      </c>
    </row>
    <row r="87">
      <c r="A87" s="561" t="s">
        <v>481</v>
      </c>
      <c r="B87" s="561" t="s">
        <v>284</v>
      </c>
      <c r="C87" s="563" t="s">
        <v>482</v>
      </c>
    </row>
    <row r="88">
      <c r="A88" s="561" t="s">
        <v>483</v>
      </c>
      <c r="B88" s="561" t="s">
        <v>284</v>
      </c>
      <c r="C88" s="563" t="s">
        <v>484</v>
      </c>
    </row>
    <row r="89">
      <c r="A89" s="561" t="s">
        <v>485</v>
      </c>
      <c r="B89" s="561" t="s">
        <v>284</v>
      </c>
      <c r="C89" s="563" t="s">
        <v>486</v>
      </c>
    </row>
    <row r="90">
      <c r="A90" s="561" t="s">
        <v>487</v>
      </c>
      <c r="B90" s="561" t="s">
        <v>284</v>
      </c>
      <c r="C90" s="563" t="s">
        <v>488</v>
      </c>
    </row>
    <row r="91">
      <c r="A91" s="561" t="s">
        <v>489</v>
      </c>
      <c r="B91" s="561" t="s">
        <v>284</v>
      </c>
      <c r="C91" s="563" t="s">
        <v>490</v>
      </c>
    </row>
    <row r="92">
      <c r="A92" s="561" t="s">
        <v>491</v>
      </c>
      <c r="B92" s="561" t="s">
        <v>284</v>
      </c>
      <c r="C92" s="563" t="s">
        <v>492</v>
      </c>
    </row>
    <row r="93">
      <c r="A93" s="561" t="s">
        <v>493</v>
      </c>
      <c r="B93" s="561" t="s">
        <v>284</v>
      </c>
      <c r="C93" s="563" t="s">
        <v>494</v>
      </c>
    </row>
    <row r="94">
      <c r="A94" s="561" t="s">
        <v>495</v>
      </c>
      <c r="B94" s="561" t="s">
        <v>284</v>
      </c>
      <c r="C94" s="563" t="s">
        <v>496</v>
      </c>
    </row>
    <row r="95">
      <c r="A95" s="561" t="s">
        <v>497</v>
      </c>
      <c r="B95" s="561" t="s">
        <v>284</v>
      </c>
      <c r="C95" s="563" t="s">
        <v>498</v>
      </c>
    </row>
    <row r="96">
      <c r="A96" s="561" t="s">
        <v>499</v>
      </c>
      <c r="B96" s="561" t="s">
        <v>284</v>
      </c>
      <c r="C96" s="563" t="s">
        <v>500</v>
      </c>
    </row>
    <row r="97">
      <c r="A97" s="561" t="s">
        <v>501</v>
      </c>
      <c r="B97" s="561" t="s">
        <v>284</v>
      </c>
      <c r="C97" s="563" t="s">
        <v>502</v>
      </c>
    </row>
    <row r="98">
      <c r="A98" s="561" t="s">
        <v>503</v>
      </c>
      <c r="B98" s="561" t="s">
        <v>284</v>
      </c>
      <c r="C98" s="563" t="s">
        <v>504</v>
      </c>
    </row>
    <row r="99">
      <c r="A99" s="561" t="s">
        <v>505</v>
      </c>
      <c r="B99" s="561" t="s">
        <v>284</v>
      </c>
      <c r="C99" s="563" t="s">
        <v>506</v>
      </c>
    </row>
    <row r="100">
      <c r="A100" s="561" t="s">
        <v>507</v>
      </c>
      <c r="B100" s="561" t="s">
        <v>284</v>
      </c>
      <c r="C100" s="563" t="s">
        <v>508</v>
      </c>
    </row>
    <row r="101">
      <c r="A101" s="561" t="s">
        <v>509</v>
      </c>
      <c r="B101" s="561" t="s">
        <v>284</v>
      </c>
      <c r="C101" s="563" t="s">
        <v>510</v>
      </c>
    </row>
    <row r="102">
      <c r="A102" s="561" t="s">
        <v>511</v>
      </c>
      <c r="B102" s="561" t="s">
        <v>284</v>
      </c>
      <c r="C102" s="563" t="s">
        <v>512</v>
      </c>
    </row>
    <row r="103">
      <c r="A103" s="561" t="s">
        <v>513</v>
      </c>
      <c r="B103" s="561" t="s">
        <v>284</v>
      </c>
      <c r="C103" s="563" t="s">
        <v>514</v>
      </c>
    </row>
    <row r="104">
      <c r="A104" s="561" t="s">
        <v>515</v>
      </c>
      <c r="B104" s="561" t="s">
        <v>284</v>
      </c>
      <c r="C104" s="563" t="s">
        <v>516</v>
      </c>
    </row>
    <row r="105">
      <c r="A105" s="561" t="s">
        <v>517</v>
      </c>
      <c r="B105" s="561" t="s">
        <v>284</v>
      </c>
      <c r="C105" s="563" t="s">
        <v>518</v>
      </c>
    </row>
    <row r="106">
      <c r="A106" s="561" t="s">
        <v>519</v>
      </c>
      <c r="B106" s="561" t="s">
        <v>284</v>
      </c>
      <c r="C106" s="563" t="s">
        <v>520</v>
      </c>
    </row>
    <row r="107">
      <c r="A107" s="561" t="s">
        <v>521</v>
      </c>
      <c r="B107" s="561" t="s">
        <v>284</v>
      </c>
      <c r="C107" s="563" t="s">
        <v>522</v>
      </c>
    </row>
    <row r="108">
      <c r="A108" s="561" t="s">
        <v>523</v>
      </c>
      <c r="B108" s="561" t="s">
        <v>284</v>
      </c>
      <c r="C108" s="563" t="s">
        <v>524</v>
      </c>
    </row>
    <row r="109">
      <c r="A109" s="561" t="s">
        <v>525</v>
      </c>
      <c r="B109" s="561" t="s">
        <v>284</v>
      </c>
      <c r="C109" s="563" t="s">
        <v>526</v>
      </c>
    </row>
    <row r="110">
      <c r="A110" s="561" t="s">
        <v>527</v>
      </c>
      <c r="B110" s="561" t="s">
        <v>284</v>
      </c>
      <c r="C110" s="563" t="s">
        <v>528</v>
      </c>
    </row>
    <row r="111">
      <c r="A111" s="561" t="s">
        <v>529</v>
      </c>
      <c r="B111" s="561" t="s">
        <v>284</v>
      </c>
      <c r="C111" s="563" t="s">
        <v>530</v>
      </c>
    </row>
    <row r="112">
      <c r="A112" s="561" t="s">
        <v>531</v>
      </c>
      <c r="B112" s="561" t="s">
        <v>284</v>
      </c>
      <c r="C112" s="563" t="s">
        <v>532</v>
      </c>
    </row>
    <row r="113">
      <c r="A113" s="561" t="s">
        <v>533</v>
      </c>
      <c r="B113" s="561" t="s">
        <v>284</v>
      </c>
      <c r="C113" s="563" t="s">
        <v>534</v>
      </c>
    </row>
    <row r="114">
      <c r="A114" s="561" t="s">
        <v>535</v>
      </c>
      <c r="B114" s="561" t="s">
        <v>284</v>
      </c>
      <c r="C114" s="563" t="s">
        <v>536</v>
      </c>
    </row>
    <row r="115">
      <c r="A115" s="561" t="s">
        <v>537</v>
      </c>
      <c r="B115" s="561" t="s">
        <v>284</v>
      </c>
      <c r="C115" s="563" t="s">
        <v>538</v>
      </c>
    </row>
    <row r="116">
      <c r="A116" s="561" t="s">
        <v>539</v>
      </c>
      <c r="B116" s="561" t="s">
        <v>284</v>
      </c>
      <c r="C116" s="563" t="s">
        <v>540</v>
      </c>
    </row>
    <row r="117">
      <c r="A117" s="561" t="s">
        <v>541</v>
      </c>
      <c r="B117" s="561" t="s">
        <v>284</v>
      </c>
      <c r="C117" s="563" t="s">
        <v>542</v>
      </c>
    </row>
    <row r="118">
      <c r="A118" s="561" t="s">
        <v>543</v>
      </c>
      <c r="B118" s="561" t="s">
        <v>284</v>
      </c>
      <c r="C118" s="563" t="s">
        <v>544</v>
      </c>
    </row>
    <row r="119">
      <c r="A119" s="561" t="s">
        <v>545</v>
      </c>
      <c r="B119" s="561" t="s">
        <v>287</v>
      </c>
      <c r="C119" s="563" t="s">
        <v>546</v>
      </c>
    </row>
    <row r="120">
      <c r="A120" s="561" t="s">
        <v>547</v>
      </c>
      <c r="B120" s="561" t="s">
        <v>284</v>
      </c>
      <c r="C120" s="563" t="s">
        <v>548</v>
      </c>
    </row>
    <row r="121">
      <c r="A121" s="561" t="s">
        <v>549</v>
      </c>
      <c r="B121" s="561" t="s">
        <v>284</v>
      </c>
      <c r="C121" s="563" t="s">
        <v>550</v>
      </c>
    </row>
    <row r="122">
      <c r="A122" s="561" t="s">
        <v>551</v>
      </c>
      <c r="B122" s="561" t="s">
        <v>284</v>
      </c>
      <c r="C122" s="563" t="s">
        <v>552</v>
      </c>
    </row>
    <row r="123">
      <c r="A123" s="561" t="s">
        <v>553</v>
      </c>
      <c r="B123" s="561" t="s">
        <v>294</v>
      </c>
      <c r="C123" s="563" t="s">
        <v>554</v>
      </c>
    </row>
    <row r="124">
      <c r="A124" s="561" t="s">
        <v>555</v>
      </c>
      <c r="B124" s="561" t="s">
        <v>284</v>
      </c>
      <c r="C124" s="563" t="s">
        <v>556</v>
      </c>
    </row>
    <row r="125">
      <c r="A125" s="561" t="s">
        <v>557</v>
      </c>
      <c r="B125" s="561" t="s">
        <v>284</v>
      </c>
      <c r="C125" s="563" t="s">
        <v>558</v>
      </c>
    </row>
    <row r="126">
      <c r="A126" s="561" t="s">
        <v>559</v>
      </c>
      <c r="B126" s="561" t="s">
        <v>284</v>
      </c>
      <c r="C126" s="563" t="s">
        <v>560</v>
      </c>
    </row>
    <row r="127">
      <c r="A127" s="561" t="s">
        <v>561</v>
      </c>
      <c r="B127" s="561" t="s">
        <v>284</v>
      </c>
      <c r="C127" s="563" t="s">
        <v>562</v>
      </c>
    </row>
    <row r="128">
      <c r="A128" s="561" t="s">
        <v>563</v>
      </c>
      <c r="B128" s="561" t="s">
        <v>284</v>
      </c>
      <c r="C128" s="563" t="s">
        <v>564</v>
      </c>
    </row>
    <row r="129">
      <c r="A129" s="561" t="s">
        <v>565</v>
      </c>
      <c r="B129" s="561" t="s">
        <v>284</v>
      </c>
      <c r="C129" s="563" t="s">
        <v>566</v>
      </c>
    </row>
    <row r="130">
      <c r="A130" s="561" t="s">
        <v>567</v>
      </c>
      <c r="B130" s="561" t="s">
        <v>284</v>
      </c>
      <c r="C130" s="563" t="s">
        <v>568</v>
      </c>
    </row>
    <row r="131">
      <c r="A131" s="561" t="s">
        <v>569</v>
      </c>
      <c r="B131" s="561" t="s">
        <v>284</v>
      </c>
      <c r="C131" s="563" t="s">
        <v>570</v>
      </c>
    </row>
    <row r="132">
      <c r="A132" s="561" t="s">
        <v>571</v>
      </c>
      <c r="B132" s="561" t="s">
        <v>284</v>
      </c>
      <c r="C132" s="563" t="s">
        <v>572</v>
      </c>
    </row>
    <row r="133">
      <c r="A133" s="561" t="s">
        <v>573</v>
      </c>
      <c r="B133" s="561" t="s">
        <v>284</v>
      </c>
      <c r="C133" s="563" t="s">
        <v>574</v>
      </c>
    </row>
    <row r="134">
      <c r="A134" s="561" t="s">
        <v>575</v>
      </c>
      <c r="B134" s="561" t="s">
        <v>284</v>
      </c>
      <c r="C134" s="563" t="s">
        <v>576</v>
      </c>
    </row>
    <row r="135">
      <c r="A135" s="561" t="s">
        <v>577</v>
      </c>
      <c r="B135" s="561" t="s">
        <v>284</v>
      </c>
      <c r="C135" s="563" t="s">
        <v>578</v>
      </c>
    </row>
    <row r="136">
      <c r="A136" s="561" t="s">
        <v>579</v>
      </c>
      <c r="B136" s="561" t="s">
        <v>580</v>
      </c>
      <c r="C136" s="563" t="s">
        <v>581</v>
      </c>
    </row>
    <row r="137">
      <c r="A137" s="561" t="s">
        <v>582</v>
      </c>
      <c r="B137" s="561" t="s">
        <v>287</v>
      </c>
      <c r="C137" s="563" t="s">
        <v>583</v>
      </c>
    </row>
    <row r="138">
      <c r="A138" s="561" t="s">
        <v>584</v>
      </c>
      <c r="B138" s="561" t="s">
        <v>284</v>
      </c>
      <c r="C138" s="563" t="s">
        <v>585</v>
      </c>
    </row>
    <row r="139">
      <c r="A139" s="561" t="s">
        <v>586</v>
      </c>
      <c r="B139" s="561" t="s">
        <v>291</v>
      </c>
      <c r="C139" s="563" t="s">
        <v>587</v>
      </c>
    </row>
    <row r="140">
      <c r="A140" s="561" t="s">
        <v>588</v>
      </c>
      <c r="B140" s="561" t="s">
        <v>284</v>
      </c>
      <c r="C140" s="563" t="s">
        <v>589</v>
      </c>
    </row>
    <row r="141">
      <c r="A141" s="561" t="s">
        <v>590</v>
      </c>
      <c r="B141" s="561" t="s">
        <v>287</v>
      </c>
      <c r="C141" s="563" t="s">
        <v>591</v>
      </c>
    </row>
    <row r="142">
      <c r="A142" s="561" t="s">
        <v>592</v>
      </c>
      <c r="B142" s="561" t="s">
        <v>287</v>
      </c>
      <c r="C142" s="563" t="s">
        <v>593</v>
      </c>
    </row>
    <row r="143">
      <c r="A143" s="561" t="s">
        <v>594</v>
      </c>
      <c r="B143" s="561" t="s">
        <v>284</v>
      </c>
      <c r="C143" s="563" t="s">
        <v>595</v>
      </c>
    </row>
    <row r="144">
      <c r="A144" s="561" t="s">
        <v>596</v>
      </c>
      <c r="B144" s="561" t="s">
        <v>284</v>
      </c>
      <c r="C144" s="563" t="s">
        <v>597</v>
      </c>
    </row>
    <row r="145">
      <c r="A145" s="561" t="s">
        <v>598</v>
      </c>
      <c r="B145" s="561" t="s">
        <v>284</v>
      </c>
      <c r="C145" s="563" t="s">
        <v>599</v>
      </c>
    </row>
    <row r="146">
      <c r="A146" s="561" t="s">
        <v>600</v>
      </c>
      <c r="B146" s="561" t="s">
        <v>284</v>
      </c>
      <c r="C146" s="563" t="s">
        <v>601</v>
      </c>
    </row>
    <row r="147">
      <c r="A147" s="561" t="s">
        <v>602</v>
      </c>
      <c r="B147" s="561" t="s">
        <v>287</v>
      </c>
      <c r="C147" s="563" t="s">
        <v>603</v>
      </c>
    </row>
    <row r="148">
      <c r="A148" s="561" t="s">
        <v>604</v>
      </c>
      <c r="B148" s="561" t="s">
        <v>284</v>
      </c>
      <c r="C148" s="563" t="s">
        <v>605</v>
      </c>
    </row>
    <row r="149">
      <c r="A149" s="561" t="s">
        <v>606</v>
      </c>
      <c r="B149" s="561" t="s">
        <v>284</v>
      </c>
      <c r="C149" s="563" t="s">
        <v>607</v>
      </c>
    </row>
    <row r="150">
      <c r="A150" s="561" t="s">
        <v>608</v>
      </c>
      <c r="B150" s="561" t="s">
        <v>284</v>
      </c>
      <c r="C150" s="563" t="s">
        <v>609</v>
      </c>
    </row>
    <row r="151">
      <c r="A151" s="561" t="s">
        <v>610</v>
      </c>
      <c r="B151" s="561" t="s">
        <v>284</v>
      </c>
      <c r="C151" s="563" t="s">
        <v>611</v>
      </c>
    </row>
    <row r="152">
      <c r="A152" s="561" t="s">
        <v>612</v>
      </c>
      <c r="B152" s="561" t="s">
        <v>284</v>
      </c>
      <c r="C152" s="563" t="s">
        <v>613</v>
      </c>
    </row>
    <row r="153">
      <c r="A153" s="561" t="s">
        <v>614</v>
      </c>
      <c r="B153" s="561" t="s">
        <v>284</v>
      </c>
      <c r="C153" s="563" t="s">
        <v>615</v>
      </c>
    </row>
    <row r="154">
      <c r="A154" s="561" t="s">
        <v>616</v>
      </c>
      <c r="B154" s="561" t="s">
        <v>284</v>
      </c>
      <c r="C154" s="563" t="s">
        <v>617</v>
      </c>
    </row>
    <row r="155">
      <c r="A155" s="561" t="s">
        <v>618</v>
      </c>
      <c r="B155" s="561" t="s">
        <v>284</v>
      </c>
      <c r="C155" s="563" t="s">
        <v>619</v>
      </c>
    </row>
    <row r="156">
      <c r="A156" s="561" t="s">
        <v>620</v>
      </c>
      <c r="B156" s="561" t="s">
        <v>284</v>
      </c>
      <c r="C156" s="563" t="s">
        <v>621</v>
      </c>
    </row>
    <row r="157">
      <c r="A157" s="561" t="s">
        <v>622</v>
      </c>
      <c r="B157" s="561" t="s">
        <v>284</v>
      </c>
      <c r="C157" s="563" t="s">
        <v>623</v>
      </c>
    </row>
    <row r="158">
      <c r="A158" s="561" t="s">
        <v>624</v>
      </c>
      <c r="B158" s="561" t="s">
        <v>284</v>
      </c>
      <c r="C158" s="563" t="s">
        <v>625</v>
      </c>
    </row>
    <row r="159">
      <c r="A159" s="561" t="s">
        <v>626</v>
      </c>
      <c r="B159" s="561" t="s">
        <v>284</v>
      </c>
      <c r="C159" s="563" t="s">
        <v>627</v>
      </c>
    </row>
    <row r="160">
      <c r="A160" s="561" t="s">
        <v>628</v>
      </c>
      <c r="B160" s="561" t="s">
        <v>284</v>
      </c>
      <c r="C160" s="563" t="s">
        <v>629</v>
      </c>
    </row>
    <row r="161">
      <c r="A161" s="561" t="s">
        <v>630</v>
      </c>
      <c r="B161" s="561" t="s">
        <v>284</v>
      </c>
      <c r="C161" s="563" t="s">
        <v>631</v>
      </c>
    </row>
    <row r="162">
      <c r="A162" s="561" t="s">
        <v>632</v>
      </c>
      <c r="B162" s="561" t="s">
        <v>284</v>
      </c>
      <c r="C162" s="563" t="s">
        <v>633</v>
      </c>
    </row>
    <row r="163">
      <c r="A163" s="561" t="s">
        <v>634</v>
      </c>
      <c r="B163" s="561" t="s">
        <v>284</v>
      </c>
      <c r="C163" s="563" t="s">
        <v>635</v>
      </c>
    </row>
    <row r="164">
      <c r="A164" s="561" t="s">
        <v>636</v>
      </c>
      <c r="B164" s="561" t="s">
        <v>284</v>
      </c>
      <c r="C164" s="563" t="s">
        <v>637</v>
      </c>
    </row>
    <row r="165">
      <c r="A165" s="561" t="s">
        <v>638</v>
      </c>
      <c r="B165" s="561" t="s">
        <v>284</v>
      </c>
      <c r="C165" s="563" t="s">
        <v>639</v>
      </c>
    </row>
    <row r="166">
      <c r="A166" s="561" t="s">
        <v>640</v>
      </c>
      <c r="B166" s="561" t="s">
        <v>284</v>
      </c>
      <c r="C166" s="563" t="s">
        <v>641</v>
      </c>
    </row>
    <row r="167">
      <c r="A167" s="561" t="s">
        <v>642</v>
      </c>
      <c r="B167" s="561" t="s">
        <v>284</v>
      </c>
      <c r="C167" s="563" t="s">
        <v>643</v>
      </c>
    </row>
    <row r="168">
      <c r="A168" s="561" t="s">
        <v>644</v>
      </c>
      <c r="B168" s="561" t="s">
        <v>284</v>
      </c>
      <c r="C168" s="563" t="s">
        <v>645</v>
      </c>
    </row>
    <row r="169">
      <c r="A169" s="561" t="s">
        <v>646</v>
      </c>
      <c r="B169" s="561" t="s">
        <v>284</v>
      </c>
      <c r="C169" s="563" t="s">
        <v>647</v>
      </c>
    </row>
    <row r="170">
      <c r="A170" s="561" t="s">
        <v>648</v>
      </c>
      <c r="B170" s="561" t="s">
        <v>284</v>
      </c>
      <c r="C170" s="563" t="s">
        <v>649</v>
      </c>
    </row>
    <row r="171">
      <c r="A171" s="561" t="s">
        <v>650</v>
      </c>
      <c r="B171" s="561" t="s">
        <v>284</v>
      </c>
      <c r="C171" s="561" t="s">
        <v>651</v>
      </c>
    </row>
    <row r="172">
      <c r="A172" s="561" t="s">
        <v>652</v>
      </c>
      <c r="B172" s="561" t="s">
        <v>284</v>
      </c>
      <c r="C172" s="561" t="s">
        <v>653</v>
      </c>
    </row>
    <row r="173">
      <c r="A173" s="561" t="s">
        <v>654</v>
      </c>
      <c r="B173" s="561" t="s">
        <v>284</v>
      </c>
      <c r="C173" s="561" t="s">
        <v>655</v>
      </c>
    </row>
    <row r="174">
      <c r="A174" s="561" t="s">
        <v>656</v>
      </c>
      <c r="B174" s="561" t="s">
        <v>284</v>
      </c>
      <c r="C174" s="561" t="s">
        <v>657</v>
      </c>
    </row>
    <row r="175">
      <c r="A175" s="561" t="s">
        <v>658</v>
      </c>
      <c r="B175" s="561" t="s">
        <v>284</v>
      </c>
      <c r="C175" s="561" t="s">
        <v>659</v>
      </c>
    </row>
    <row r="176">
      <c r="A176" s="561" t="s">
        <v>660</v>
      </c>
      <c r="B176" s="561" t="s">
        <v>284</v>
      </c>
      <c r="C176" s="561" t="s">
        <v>661</v>
      </c>
    </row>
    <row r="177">
      <c r="A177" s="561" t="s">
        <v>662</v>
      </c>
      <c r="B177" s="561" t="s">
        <v>284</v>
      </c>
      <c r="C177" s="561" t="s">
        <v>663</v>
      </c>
    </row>
    <row r="178">
      <c r="A178" s="561" t="s">
        <v>664</v>
      </c>
      <c r="B178" s="561" t="s">
        <v>284</v>
      </c>
      <c r="C178" s="561" t="s">
        <v>665</v>
      </c>
    </row>
    <row r="179">
      <c r="A179" s="561" t="s">
        <v>666</v>
      </c>
      <c r="B179" s="561" t="s">
        <v>284</v>
      </c>
      <c r="C179" s="561" t="s">
        <v>667</v>
      </c>
    </row>
    <row r="180">
      <c r="A180" s="561" t="s">
        <v>668</v>
      </c>
      <c r="B180" s="561" t="s">
        <v>284</v>
      </c>
      <c r="C180" s="561" t="s">
        <v>669</v>
      </c>
    </row>
    <row r="181">
      <c r="A181" s="561" t="s">
        <v>670</v>
      </c>
      <c r="B181" s="561" t="s">
        <v>284</v>
      </c>
      <c r="C181" s="561" t="s">
        <v>671</v>
      </c>
    </row>
    <row r="182">
      <c r="A182" s="561" t="s">
        <v>672</v>
      </c>
      <c r="B182" s="561" t="s">
        <v>284</v>
      </c>
      <c r="C182" s="561" t="s">
        <v>673</v>
      </c>
    </row>
    <row r="183">
      <c r="A183" s="561" t="s">
        <v>674</v>
      </c>
      <c r="B183" s="561" t="s">
        <v>284</v>
      </c>
      <c r="C183" s="561" t="s">
        <v>675</v>
      </c>
    </row>
    <row r="184">
      <c r="A184" s="561" t="s">
        <v>676</v>
      </c>
      <c r="B184" s="561" t="s">
        <v>284</v>
      </c>
      <c r="C184" s="561" t="s">
        <v>677</v>
      </c>
    </row>
    <row r="185">
      <c r="A185" s="561" t="s">
        <v>678</v>
      </c>
      <c r="B185" s="561" t="s">
        <v>284</v>
      </c>
      <c r="C185" s="561" t="s">
        <v>679</v>
      </c>
    </row>
    <row r="186">
      <c r="A186" s="561" t="s">
        <v>680</v>
      </c>
      <c r="B186" s="561" t="s">
        <v>284</v>
      </c>
      <c r="C186" s="561" t="s">
        <v>681</v>
      </c>
    </row>
    <row r="187">
      <c r="A187" s="561" t="s">
        <v>682</v>
      </c>
      <c r="B187" s="561" t="s">
        <v>284</v>
      </c>
      <c r="C187" s="561" t="s">
        <v>683</v>
      </c>
    </row>
    <row r="188">
      <c r="A188" s="561" t="s">
        <v>684</v>
      </c>
      <c r="B188" s="561" t="s">
        <v>284</v>
      </c>
      <c r="C188" s="561" t="s">
        <v>685</v>
      </c>
    </row>
    <row r="189">
      <c r="A189" s="561" t="s">
        <v>686</v>
      </c>
      <c r="B189" s="561" t="s">
        <v>284</v>
      </c>
      <c r="C189" s="561" t="s">
        <v>687</v>
      </c>
    </row>
    <row r="190">
      <c r="A190" s="561" t="s">
        <v>688</v>
      </c>
      <c r="B190" s="561" t="s">
        <v>284</v>
      </c>
      <c r="C190" s="561" t="s">
        <v>689</v>
      </c>
    </row>
    <row r="191">
      <c r="A191" s="561" t="s">
        <v>690</v>
      </c>
      <c r="B191" s="561" t="s">
        <v>284</v>
      </c>
      <c r="C191" s="561" t="s">
        <v>691</v>
      </c>
    </row>
    <row r="192">
      <c r="A192" s="561" t="s">
        <v>692</v>
      </c>
      <c r="B192" s="561" t="s">
        <v>284</v>
      </c>
      <c r="C192" s="561" t="s">
        <v>693</v>
      </c>
    </row>
    <row r="193">
      <c r="A193" s="561" t="s">
        <v>694</v>
      </c>
      <c r="B193" s="561" t="s">
        <v>284</v>
      </c>
      <c r="C193" s="561" t="s">
        <v>695</v>
      </c>
    </row>
    <row r="194">
      <c r="A194" s="561" t="s">
        <v>696</v>
      </c>
      <c r="B194" s="561" t="s">
        <v>284</v>
      </c>
      <c r="C194" s="561" t="s">
        <v>697</v>
      </c>
    </row>
    <row r="195">
      <c r="A195" s="561" t="s">
        <v>698</v>
      </c>
      <c r="B195" s="561" t="s">
        <v>284</v>
      </c>
      <c r="C195" s="561" t="s">
        <v>699</v>
      </c>
    </row>
    <row r="196">
      <c r="A196" s="561" t="s">
        <v>700</v>
      </c>
      <c r="B196" s="561" t="s">
        <v>284</v>
      </c>
      <c r="C196" s="561" t="s">
        <v>701</v>
      </c>
    </row>
    <row r="197">
      <c r="A197" s="561" t="s">
        <v>702</v>
      </c>
      <c r="B197" s="561" t="s">
        <v>284</v>
      </c>
      <c r="C197" s="561" t="s">
        <v>703</v>
      </c>
    </row>
    <row r="198">
      <c r="A198" s="561" t="s">
        <v>704</v>
      </c>
      <c r="B198" s="561" t="s">
        <v>284</v>
      </c>
      <c r="C198" s="561" t="s">
        <v>705</v>
      </c>
    </row>
    <row r="199">
      <c r="A199" s="561" t="s">
        <v>706</v>
      </c>
      <c r="B199" s="561" t="s">
        <v>284</v>
      </c>
      <c r="C199" s="561" t="s">
        <v>707</v>
      </c>
    </row>
    <row r="200">
      <c r="A200" s="561" t="s">
        <v>708</v>
      </c>
      <c r="B200" s="561" t="s">
        <v>284</v>
      </c>
      <c r="C200" s="561" t="s">
        <v>709</v>
      </c>
    </row>
    <row r="201">
      <c r="A201" s="561" t="s">
        <v>710</v>
      </c>
      <c r="B201" s="561" t="s">
        <v>284</v>
      </c>
      <c r="C201" s="561" t="s">
        <v>711</v>
      </c>
    </row>
    <row r="202">
      <c r="A202" s="561" t="s">
        <v>712</v>
      </c>
      <c r="B202" s="561" t="s">
        <v>284</v>
      </c>
      <c r="C202" s="561" t="s">
        <v>713</v>
      </c>
    </row>
    <row r="203">
      <c r="A203" s="561" t="s">
        <v>714</v>
      </c>
      <c r="B203" s="561" t="s">
        <v>284</v>
      </c>
      <c r="C203" s="561" t="s">
        <v>715</v>
      </c>
    </row>
    <row r="204">
      <c r="A204" s="561" t="s">
        <v>716</v>
      </c>
      <c r="B204" s="561" t="s">
        <v>284</v>
      </c>
      <c r="C204" s="561" t="s">
        <v>717</v>
      </c>
    </row>
    <row r="205">
      <c r="A205" s="561" t="s">
        <v>718</v>
      </c>
      <c r="B205" s="561" t="s">
        <v>284</v>
      </c>
      <c r="C205" s="561" t="s">
        <v>719</v>
      </c>
    </row>
    <row r="206">
      <c r="A206" s="561" t="s">
        <v>720</v>
      </c>
      <c r="B206" s="561" t="s">
        <v>284</v>
      </c>
      <c r="C206" s="561" t="s">
        <v>721</v>
      </c>
    </row>
    <row r="207">
      <c r="A207" s="561" t="s">
        <v>722</v>
      </c>
      <c r="B207" s="561" t="s">
        <v>284</v>
      </c>
      <c r="C207" s="561" t="s">
        <v>723</v>
      </c>
    </row>
    <row r="208">
      <c r="A208" s="561" t="s">
        <v>724</v>
      </c>
      <c r="B208" s="561" t="s">
        <v>287</v>
      </c>
      <c r="C208" s="561" t="s">
        <v>725</v>
      </c>
    </row>
    <row r="209">
      <c r="A209" s="561" t="s">
        <v>726</v>
      </c>
      <c r="B209" s="561" t="s">
        <v>284</v>
      </c>
      <c r="C209" s="561" t="s">
        <v>727</v>
      </c>
    </row>
    <row r="210">
      <c r="A210" s="561" t="s">
        <v>728</v>
      </c>
      <c r="B210" s="561" t="s">
        <v>284</v>
      </c>
      <c r="C210" s="561" t="s">
        <v>729</v>
      </c>
    </row>
    <row r="211">
      <c r="A211" s="561" t="s">
        <v>730</v>
      </c>
      <c r="B211" s="561" t="s">
        <v>284</v>
      </c>
      <c r="C211" s="561" t="s">
        <v>731</v>
      </c>
    </row>
    <row r="212">
      <c r="A212" s="561" t="s">
        <v>732</v>
      </c>
      <c r="B212" s="561" t="s">
        <v>284</v>
      </c>
      <c r="C212" s="561" t="s">
        <v>733</v>
      </c>
    </row>
    <row r="213">
      <c r="A213" s="561" t="s">
        <v>734</v>
      </c>
      <c r="B213" s="561" t="s">
        <v>284</v>
      </c>
      <c r="C213" s="561" t="s">
        <v>735</v>
      </c>
    </row>
    <row r="214">
      <c r="A214" s="561" t="s">
        <v>736</v>
      </c>
      <c r="B214" s="561" t="s">
        <v>284</v>
      </c>
      <c r="C214" s="561" t="s">
        <v>737</v>
      </c>
    </row>
    <row r="215">
      <c r="A215" s="561" t="s">
        <v>738</v>
      </c>
      <c r="B215" s="561" t="s">
        <v>284</v>
      </c>
      <c r="C215" s="561" t="s">
        <v>739</v>
      </c>
    </row>
    <row r="216">
      <c r="A216" s="561" t="s">
        <v>740</v>
      </c>
      <c r="B216" s="561" t="s">
        <v>284</v>
      </c>
      <c r="C216" s="561" t="s">
        <v>741</v>
      </c>
    </row>
    <row r="217">
      <c r="A217" s="561" t="s">
        <v>742</v>
      </c>
      <c r="B217" s="561" t="s">
        <v>284</v>
      </c>
      <c r="C217" s="561" t="s">
        <v>743</v>
      </c>
    </row>
    <row r="218">
      <c r="A218" s="561" t="s">
        <v>744</v>
      </c>
      <c r="B218" s="561" t="s">
        <v>284</v>
      </c>
      <c r="C218" s="561" t="s">
        <v>745</v>
      </c>
    </row>
    <row r="219">
      <c r="A219" s="561" t="s">
        <v>746</v>
      </c>
      <c r="B219" s="561" t="s">
        <v>284</v>
      </c>
      <c r="C219" s="561" t="s">
        <v>747</v>
      </c>
    </row>
    <row r="220">
      <c r="A220" s="561" t="s">
        <v>748</v>
      </c>
      <c r="B220" s="561" t="s">
        <v>284</v>
      </c>
      <c r="C220" s="561" t="s">
        <v>749</v>
      </c>
    </row>
    <row r="221">
      <c r="A221" s="561" t="s">
        <v>750</v>
      </c>
      <c r="B221" s="561" t="s">
        <v>284</v>
      </c>
      <c r="C221" s="561" t="s">
        <v>751</v>
      </c>
    </row>
    <row r="222">
      <c r="A222" s="561" t="s">
        <v>752</v>
      </c>
      <c r="B222" s="561" t="s">
        <v>284</v>
      </c>
      <c r="C222" s="561" t="s">
        <v>753</v>
      </c>
    </row>
    <row r="223">
      <c r="A223" s="561" t="s">
        <v>754</v>
      </c>
      <c r="B223" s="561" t="s">
        <v>287</v>
      </c>
      <c r="C223" s="561" t="s">
        <v>755</v>
      </c>
    </row>
    <row r="224">
      <c r="A224" s="561" t="s">
        <v>756</v>
      </c>
      <c r="B224" s="561" t="s">
        <v>284</v>
      </c>
      <c r="C224" s="561" t="s">
        <v>757</v>
      </c>
    </row>
    <row r="225">
      <c r="A225" s="561" t="s">
        <v>758</v>
      </c>
      <c r="B225" s="561" t="s">
        <v>284</v>
      </c>
      <c r="C225" s="561" t="s">
        <v>759</v>
      </c>
    </row>
    <row r="226">
      <c r="A226" s="561" t="s">
        <v>760</v>
      </c>
      <c r="B226" s="561" t="s">
        <v>284</v>
      </c>
      <c r="C226" s="561" t="s">
        <v>761</v>
      </c>
    </row>
    <row r="227">
      <c r="A227" s="561" t="s">
        <v>762</v>
      </c>
      <c r="B227" s="561" t="s">
        <v>284</v>
      </c>
      <c r="C227" s="561" t="s">
        <v>763</v>
      </c>
    </row>
    <row r="228">
      <c r="A228" s="561" t="s">
        <v>764</v>
      </c>
      <c r="B228" s="561" t="s">
        <v>284</v>
      </c>
      <c r="C228" s="561" t="s">
        <v>765</v>
      </c>
    </row>
    <row r="229">
      <c r="A229" s="561" t="s">
        <v>766</v>
      </c>
      <c r="B229" s="561" t="s">
        <v>284</v>
      </c>
      <c r="C229" s="561" t="s">
        <v>767</v>
      </c>
    </row>
    <row r="230">
      <c r="A230" s="561" t="s">
        <v>768</v>
      </c>
      <c r="B230" s="561" t="s">
        <v>284</v>
      </c>
      <c r="C230" s="561" t="s">
        <v>769</v>
      </c>
    </row>
    <row r="231">
      <c r="A231" s="561" t="s">
        <v>770</v>
      </c>
      <c r="B231" s="561" t="s">
        <v>284</v>
      </c>
      <c r="C231" s="561" t="s">
        <v>771</v>
      </c>
    </row>
    <row r="232">
      <c r="A232" s="561" t="s">
        <v>772</v>
      </c>
      <c r="B232" s="561" t="s">
        <v>284</v>
      </c>
      <c r="C232" s="561" t="s">
        <v>773</v>
      </c>
    </row>
    <row r="233">
      <c r="A233" s="561" t="s">
        <v>774</v>
      </c>
      <c r="B233" s="561" t="s">
        <v>284</v>
      </c>
      <c r="C233" s="561" t="s">
        <v>775</v>
      </c>
    </row>
    <row r="234">
      <c r="A234" s="561" t="s">
        <v>776</v>
      </c>
      <c r="B234" s="561" t="s">
        <v>284</v>
      </c>
      <c r="C234" s="561" t="s">
        <v>777</v>
      </c>
    </row>
    <row r="235">
      <c r="A235" s="561" t="s">
        <v>778</v>
      </c>
      <c r="B235" s="561" t="s">
        <v>779</v>
      </c>
      <c r="C235" s="561" t="s">
        <v>780</v>
      </c>
    </row>
    <row r="236">
      <c r="A236" s="561" t="s">
        <v>781</v>
      </c>
      <c r="B236" s="561" t="s">
        <v>284</v>
      </c>
      <c r="C236" s="561" t="s">
        <v>782</v>
      </c>
    </row>
    <row r="237">
      <c r="A237" s="561" t="s">
        <v>783</v>
      </c>
      <c r="B237" s="561" t="s">
        <v>779</v>
      </c>
      <c r="C237" s="561" t="s">
        <v>784</v>
      </c>
    </row>
    <row r="238">
      <c r="A238" s="561" t="s">
        <v>785</v>
      </c>
      <c r="B238" s="561" t="s">
        <v>284</v>
      </c>
      <c r="C238" s="561" t="s">
        <v>786</v>
      </c>
    </row>
    <row r="239">
      <c r="A239" s="561" t="s">
        <v>787</v>
      </c>
      <c r="B239" s="561" t="s">
        <v>284</v>
      </c>
      <c r="C239" s="561" t="s">
        <v>788</v>
      </c>
    </row>
    <row r="240">
      <c r="A240" s="561" t="s">
        <v>789</v>
      </c>
      <c r="B240" s="561" t="s">
        <v>284</v>
      </c>
      <c r="C240" s="561" t="s">
        <v>790</v>
      </c>
    </row>
    <row r="241">
      <c r="A241" s="561" t="s">
        <v>791</v>
      </c>
      <c r="B241" s="561" t="s">
        <v>284</v>
      </c>
      <c r="C241" s="561" t="s">
        <v>792</v>
      </c>
    </row>
    <row r="242">
      <c r="A242" s="561" t="s">
        <v>793</v>
      </c>
      <c r="B242" s="561" t="s">
        <v>284</v>
      </c>
      <c r="C242" s="561" t="s">
        <v>794</v>
      </c>
    </row>
    <row r="243">
      <c r="A243" s="561" t="s">
        <v>795</v>
      </c>
      <c r="B243" s="561" t="s">
        <v>284</v>
      </c>
      <c r="C243" s="561" t="s">
        <v>796</v>
      </c>
    </row>
    <row r="244">
      <c r="A244" s="561" t="s">
        <v>797</v>
      </c>
      <c r="B244" s="561" t="s">
        <v>284</v>
      </c>
      <c r="C244" s="561" t="s">
        <v>798</v>
      </c>
    </row>
    <row r="245">
      <c r="A245" s="561" t="s">
        <v>799</v>
      </c>
      <c r="B245" s="561" t="s">
        <v>284</v>
      </c>
      <c r="C245" s="561" t="s">
        <v>800</v>
      </c>
    </row>
    <row r="246">
      <c r="A246" s="561" t="s">
        <v>801</v>
      </c>
      <c r="B246" s="561" t="s">
        <v>284</v>
      </c>
      <c r="C246" s="561" t="s">
        <v>802</v>
      </c>
    </row>
    <row r="247">
      <c r="A247" s="561" t="s">
        <v>803</v>
      </c>
      <c r="B247" s="561" t="s">
        <v>284</v>
      </c>
      <c r="C247" s="561" t="s">
        <v>804</v>
      </c>
    </row>
    <row r="248">
      <c r="A248" s="561" t="s">
        <v>805</v>
      </c>
      <c r="B248" s="561" t="s">
        <v>284</v>
      </c>
      <c r="C248" s="561" t="s">
        <v>806</v>
      </c>
    </row>
    <row r="249">
      <c r="A249" s="561" t="s">
        <v>807</v>
      </c>
      <c r="B249" s="561" t="s">
        <v>284</v>
      </c>
      <c r="C249" s="561" t="s">
        <v>808</v>
      </c>
    </row>
    <row r="250">
      <c r="A250" s="561" t="s">
        <v>809</v>
      </c>
      <c r="B250" s="561" t="s">
        <v>284</v>
      </c>
      <c r="C250" s="561" t="s">
        <v>810</v>
      </c>
    </row>
    <row r="251">
      <c r="A251" s="561" t="s">
        <v>811</v>
      </c>
      <c r="B251" s="561" t="s">
        <v>284</v>
      </c>
      <c r="C251" s="561" t="s">
        <v>812</v>
      </c>
    </row>
    <row r="252">
      <c r="A252" s="561" t="s">
        <v>813</v>
      </c>
      <c r="B252" s="561" t="s">
        <v>284</v>
      </c>
      <c r="C252" s="561" t="s">
        <v>814</v>
      </c>
    </row>
    <row r="253">
      <c r="A253" s="561" t="s">
        <v>815</v>
      </c>
      <c r="B253" s="561" t="s">
        <v>284</v>
      </c>
      <c r="C253" s="561" t="s">
        <v>816</v>
      </c>
    </row>
    <row r="254">
      <c r="A254" s="561" t="s">
        <v>817</v>
      </c>
      <c r="B254" s="561" t="s">
        <v>284</v>
      </c>
      <c r="C254" s="561" t="s">
        <v>818</v>
      </c>
    </row>
    <row r="255">
      <c r="A255" s="561" t="s">
        <v>819</v>
      </c>
      <c r="B255" s="561" t="s">
        <v>284</v>
      </c>
      <c r="C255" s="561" t="s">
        <v>820</v>
      </c>
    </row>
    <row r="256">
      <c r="A256" s="561" t="s">
        <v>821</v>
      </c>
      <c r="B256" s="561" t="s">
        <v>297</v>
      </c>
      <c r="C256" s="561" t="s">
        <v>822</v>
      </c>
    </row>
    <row r="257">
      <c r="A257" s="561" t="s">
        <v>823</v>
      </c>
      <c r="B257" s="561" t="s">
        <v>284</v>
      </c>
      <c r="C257" s="561" t="s">
        <v>824</v>
      </c>
    </row>
    <row r="258">
      <c r="A258" s="561" t="s">
        <v>825</v>
      </c>
      <c r="B258" s="561" t="s">
        <v>284</v>
      </c>
      <c r="C258" s="561" t="s">
        <v>826</v>
      </c>
    </row>
    <row r="259">
      <c r="A259" s="561" t="s">
        <v>827</v>
      </c>
      <c r="B259" s="561" t="s">
        <v>297</v>
      </c>
      <c r="C259" s="561" t="s">
        <v>828</v>
      </c>
    </row>
    <row r="260">
      <c r="A260" s="561" t="s">
        <v>829</v>
      </c>
      <c r="B260" s="561" t="s">
        <v>297</v>
      </c>
      <c r="C260" s="561" t="s">
        <v>830</v>
      </c>
    </row>
    <row r="261">
      <c r="A261" s="561" t="s">
        <v>831</v>
      </c>
      <c r="B261" s="561" t="s">
        <v>291</v>
      </c>
      <c r="C261" s="561" t="s">
        <v>832</v>
      </c>
    </row>
    <row r="262">
      <c r="A262" s="561" t="s">
        <v>833</v>
      </c>
      <c r="B262" s="561" t="s">
        <v>284</v>
      </c>
      <c r="C262" s="561" t="s">
        <v>834</v>
      </c>
    </row>
    <row r="263">
      <c r="A263" s="561" t="s">
        <v>835</v>
      </c>
      <c r="B263" s="561" t="s">
        <v>291</v>
      </c>
      <c r="C263" s="561" t="s">
        <v>836</v>
      </c>
    </row>
    <row r="264">
      <c r="A264" s="561" t="s">
        <v>837</v>
      </c>
      <c r="B264" s="561" t="s">
        <v>287</v>
      </c>
      <c r="C264" s="561" t="s">
        <v>838</v>
      </c>
    </row>
    <row r="265">
      <c r="A265" s="561" t="s">
        <v>839</v>
      </c>
      <c r="B265" s="561" t="s">
        <v>291</v>
      </c>
      <c r="C265" s="561" t="s">
        <v>840</v>
      </c>
    </row>
    <row r="266">
      <c r="A266" s="561" t="s">
        <v>841</v>
      </c>
      <c r="B266" s="561" t="s">
        <v>294</v>
      </c>
      <c r="C266" s="561" t="s">
        <v>842</v>
      </c>
    </row>
    <row r="267">
      <c r="A267" s="561" t="s">
        <v>843</v>
      </c>
      <c r="B267" s="561" t="s">
        <v>287</v>
      </c>
      <c r="C267" s="561" t="s">
        <v>844</v>
      </c>
    </row>
    <row r="268">
      <c r="A268" s="561" t="s">
        <v>845</v>
      </c>
      <c r="B268" s="561" t="s">
        <v>284</v>
      </c>
      <c r="C268" s="561" t="s">
        <v>846</v>
      </c>
    </row>
    <row r="269">
      <c r="A269" s="561" t="s">
        <v>847</v>
      </c>
      <c r="B269" s="561" t="s">
        <v>284</v>
      </c>
      <c r="C269" s="561" t="s">
        <v>848</v>
      </c>
    </row>
    <row r="270">
      <c r="A270" s="561" t="s">
        <v>849</v>
      </c>
      <c r="B270" s="561" t="s">
        <v>275</v>
      </c>
      <c r="C270" s="561" t="s">
        <v>850</v>
      </c>
    </row>
    <row r="271">
      <c r="A271" s="561" t="s">
        <v>851</v>
      </c>
      <c r="B271" s="561" t="s">
        <v>284</v>
      </c>
      <c r="C271" s="561" t="s">
        <v>852</v>
      </c>
    </row>
    <row r="272">
      <c r="A272" s="561" t="s">
        <v>853</v>
      </c>
      <c r="B272" s="561" t="s">
        <v>275</v>
      </c>
      <c r="C272" s="561" t="s">
        <v>854</v>
      </c>
    </row>
    <row r="273">
      <c r="A273" s="561" t="s">
        <v>855</v>
      </c>
      <c r="B273" s="561" t="s">
        <v>275</v>
      </c>
      <c r="C273" s="561" t="s">
        <v>856</v>
      </c>
    </row>
    <row r="274">
      <c r="A274" s="561" t="s">
        <v>857</v>
      </c>
      <c r="B274" s="561" t="s">
        <v>284</v>
      </c>
      <c r="C274" s="561" t="s">
        <v>858</v>
      </c>
    </row>
    <row r="275">
      <c r="A275" s="561" t="s">
        <v>859</v>
      </c>
      <c r="B275" s="561" t="s">
        <v>275</v>
      </c>
      <c r="C275" s="561" t="s">
        <v>860</v>
      </c>
    </row>
    <row r="276">
      <c r="A276" s="561" t="s">
        <v>861</v>
      </c>
      <c r="B276" s="561" t="s">
        <v>284</v>
      </c>
      <c r="C276" s="561" t="s">
        <v>862</v>
      </c>
    </row>
    <row r="277">
      <c r="A277" s="561" t="s">
        <v>863</v>
      </c>
      <c r="B277" s="561" t="s">
        <v>284</v>
      </c>
      <c r="C277" s="561" t="s">
        <v>864</v>
      </c>
    </row>
    <row r="278">
      <c r="A278" s="561" t="s">
        <v>865</v>
      </c>
      <c r="B278" s="561" t="s">
        <v>284</v>
      </c>
      <c r="C278" s="561" t="s">
        <v>866</v>
      </c>
    </row>
    <row r="279">
      <c r="A279" s="561" t="s">
        <v>867</v>
      </c>
      <c r="B279" s="561" t="s">
        <v>284</v>
      </c>
      <c r="C279" s="561" t="s">
        <v>868</v>
      </c>
    </row>
    <row r="280">
      <c r="A280" s="561" t="s">
        <v>869</v>
      </c>
      <c r="B280" s="561" t="s">
        <v>287</v>
      </c>
      <c r="C280" s="561" t="s">
        <v>870</v>
      </c>
    </row>
    <row r="281">
      <c r="A281" s="561" t="s">
        <v>871</v>
      </c>
      <c r="B281" s="561" t="s">
        <v>275</v>
      </c>
      <c r="C281" s="561" t="s">
        <v>872</v>
      </c>
    </row>
    <row r="282">
      <c r="A282" s="561" t="s">
        <v>873</v>
      </c>
      <c r="B282" s="561" t="s">
        <v>291</v>
      </c>
      <c r="C282" s="561" t="s">
        <v>874</v>
      </c>
    </row>
    <row r="283">
      <c r="A283" s="561" t="s">
        <v>875</v>
      </c>
      <c r="B283" s="561" t="s">
        <v>284</v>
      </c>
      <c r="C283" s="561" t="s">
        <v>876</v>
      </c>
    </row>
    <row r="284">
      <c r="A284" s="561" t="s">
        <v>877</v>
      </c>
      <c r="B284" s="561" t="s">
        <v>297</v>
      </c>
      <c r="C284" s="561" t="s">
        <v>878</v>
      </c>
    </row>
    <row r="285">
      <c r="A285" s="561" t="s">
        <v>879</v>
      </c>
      <c r="B285" s="561" t="s">
        <v>287</v>
      </c>
      <c r="C285" s="561" t="s">
        <v>880</v>
      </c>
    </row>
    <row r="286">
      <c r="A286" s="561" t="s">
        <v>881</v>
      </c>
      <c r="B286" s="561" t="s">
        <v>287</v>
      </c>
      <c r="C286" s="561" t="s">
        <v>882</v>
      </c>
    </row>
    <row r="287">
      <c r="A287" s="561" t="s">
        <v>883</v>
      </c>
      <c r="B287" s="561" t="s">
        <v>284</v>
      </c>
      <c r="C287" s="561" t="s">
        <v>884</v>
      </c>
    </row>
    <row r="288">
      <c r="A288" s="561" t="s">
        <v>885</v>
      </c>
      <c r="B288" s="561" t="s">
        <v>284</v>
      </c>
      <c r="C288" s="561" t="s">
        <v>886</v>
      </c>
    </row>
    <row r="289">
      <c r="A289" s="561" t="s">
        <v>887</v>
      </c>
      <c r="B289" s="561" t="s">
        <v>297</v>
      </c>
      <c r="C289" s="561" t="s">
        <v>888</v>
      </c>
    </row>
    <row r="290">
      <c r="A290" s="561" t="s">
        <v>889</v>
      </c>
      <c r="B290" s="561" t="s">
        <v>297</v>
      </c>
      <c r="C290" s="561" t="s">
        <v>890</v>
      </c>
    </row>
    <row r="291">
      <c r="A291" s="561" t="s">
        <v>891</v>
      </c>
      <c r="B291" s="561" t="s">
        <v>284</v>
      </c>
      <c r="C291" s="561" t="s">
        <v>892</v>
      </c>
    </row>
    <row r="292">
      <c r="A292" s="561" t="s">
        <v>893</v>
      </c>
      <c r="B292" s="561" t="s">
        <v>284</v>
      </c>
      <c r="C292" s="561" t="s">
        <v>894</v>
      </c>
    </row>
    <row r="293">
      <c r="A293" s="561" t="s">
        <v>895</v>
      </c>
      <c r="B293" s="561" t="s">
        <v>284</v>
      </c>
      <c r="C293" s="561" t="s">
        <v>896</v>
      </c>
    </row>
    <row r="294">
      <c r="A294" s="561" t="s">
        <v>897</v>
      </c>
      <c r="B294" s="561" t="s">
        <v>294</v>
      </c>
      <c r="C294" s="561" t="s">
        <v>898</v>
      </c>
    </row>
    <row r="295">
      <c r="A295" s="561" t="s">
        <v>899</v>
      </c>
      <c r="B295" s="561" t="s">
        <v>287</v>
      </c>
      <c r="C295" s="561" t="s">
        <v>900</v>
      </c>
    </row>
    <row r="296">
      <c r="A296" s="561" t="s">
        <v>901</v>
      </c>
      <c r="B296" s="561" t="s">
        <v>297</v>
      </c>
      <c r="C296" s="561" t="s">
        <v>902</v>
      </c>
    </row>
    <row r="297">
      <c r="A297" s="561" t="s">
        <v>903</v>
      </c>
      <c r="B297" s="561" t="s">
        <v>297</v>
      </c>
      <c r="C297" s="561" t="s">
        <v>904</v>
      </c>
    </row>
    <row r="298">
      <c r="A298" s="561" t="s">
        <v>905</v>
      </c>
      <c r="B298" s="561" t="s">
        <v>284</v>
      </c>
      <c r="C298" s="561" t="s">
        <v>906</v>
      </c>
    </row>
    <row r="299">
      <c r="A299" s="561" t="s">
        <v>907</v>
      </c>
      <c r="B299" s="561" t="s">
        <v>284</v>
      </c>
      <c r="C299" s="561" t="s">
        <v>908</v>
      </c>
    </row>
    <row r="300">
      <c r="A300" s="561" t="s">
        <v>909</v>
      </c>
      <c r="B300" s="561" t="s">
        <v>275</v>
      </c>
      <c r="C300" s="561" t="s">
        <v>910</v>
      </c>
    </row>
    <row r="301">
      <c r="A301" s="561" t="s">
        <v>911</v>
      </c>
      <c r="B301" s="561" t="s">
        <v>294</v>
      </c>
      <c r="C301" s="561" t="s">
        <v>912</v>
      </c>
    </row>
    <row r="302">
      <c r="A302" s="561" t="s">
        <v>913</v>
      </c>
      <c r="B302" s="561" t="s">
        <v>284</v>
      </c>
      <c r="C302" s="561" t="s">
        <v>914</v>
      </c>
    </row>
    <row r="303">
      <c r="A303" s="561" t="s">
        <v>915</v>
      </c>
      <c r="B303" s="561" t="s">
        <v>284</v>
      </c>
      <c r="C303" s="561" t="s">
        <v>916</v>
      </c>
    </row>
    <row r="304">
      <c r="A304" s="561" t="s">
        <v>917</v>
      </c>
      <c r="B304" s="561" t="s">
        <v>284</v>
      </c>
      <c r="C304" s="561" t="s">
        <v>918</v>
      </c>
    </row>
    <row r="305">
      <c r="A305" s="561" t="s">
        <v>919</v>
      </c>
      <c r="B305" s="561" t="s">
        <v>297</v>
      </c>
      <c r="C305" s="561" t="s">
        <v>920</v>
      </c>
    </row>
    <row r="306">
      <c r="A306" s="561" t="s">
        <v>921</v>
      </c>
      <c r="B306" s="561" t="s">
        <v>275</v>
      </c>
      <c r="C306" s="561" t="s">
        <v>922</v>
      </c>
    </row>
    <row r="307">
      <c r="A307" s="561" t="s">
        <v>923</v>
      </c>
      <c r="B307" s="561" t="s">
        <v>275</v>
      </c>
      <c r="C307" s="561" t="s">
        <v>924</v>
      </c>
    </row>
    <row r="308">
      <c r="A308" s="561" t="s">
        <v>925</v>
      </c>
      <c r="B308" s="561" t="s">
        <v>275</v>
      </c>
      <c r="C308" s="561" t="s">
        <v>926</v>
      </c>
    </row>
    <row r="309">
      <c r="A309" s="561" t="s">
        <v>927</v>
      </c>
      <c r="B309" s="561" t="s">
        <v>275</v>
      </c>
      <c r="C309" s="561" t="s">
        <v>928</v>
      </c>
    </row>
    <row r="310">
      <c r="A310" s="561" t="s">
        <v>929</v>
      </c>
      <c r="B310" s="561" t="s">
        <v>287</v>
      </c>
      <c r="C310" s="561" t="s">
        <v>930</v>
      </c>
    </row>
    <row r="311">
      <c r="A311" s="561" t="s">
        <v>931</v>
      </c>
      <c r="B311" s="561" t="s">
        <v>275</v>
      </c>
      <c r="C311" s="561" t="s">
        <v>932</v>
      </c>
    </row>
    <row r="312">
      <c r="A312" s="561" t="s">
        <v>933</v>
      </c>
      <c r="B312" s="561" t="s">
        <v>284</v>
      </c>
      <c r="C312" s="561" t="s">
        <v>934</v>
      </c>
    </row>
    <row r="313">
      <c r="A313" s="561" t="s">
        <v>935</v>
      </c>
      <c r="B313" s="561" t="s">
        <v>284</v>
      </c>
      <c r="C313" s="561" t="s">
        <v>936</v>
      </c>
    </row>
    <row r="314">
      <c r="A314" s="561" t="s">
        <v>937</v>
      </c>
      <c r="B314" s="561" t="s">
        <v>297</v>
      </c>
      <c r="C314" s="561" t="s">
        <v>938</v>
      </c>
    </row>
    <row r="315">
      <c r="A315" s="561" t="s">
        <v>939</v>
      </c>
      <c r="B315" s="561" t="s">
        <v>297</v>
      </c>
      <c r="C315" s="561" t="s">
        <v>940</v>
      </c>
    </row>
    <row r="316">
      <c r="A316" s="561" t="s">
        <v>941</v>
      </c>
      <c r="B316" s="561" t="s">
        <v>284</v>
      </c>
      <c r="C316" s="561" t="s">
        <v>942</v>
      </c>
    </row>
    <row r="317">
      <c r="A317" s="561" t="s">
        <v>943</v>
      </c>
      <c r="B317" s="561" t="s">
        <v>284</v>
      </c>
      <c r="C317" s="561" t="s">
        <v>944</v>
      </c>
    </row>
    <row r="318">
      <c r="A318" s="561" t="s">
        <v>945</v>
      </c>
      <c r="B318" s="561" t="s">
        <v>284</v>
      </c>
      <c r="C318" s="561" t="s">
        <v>946</v>
      </c>
    </row>
    <row r="319">
      <c r="A319" s="561" t="s">
        <v>947</v>
      </c>
      <c r="B319" s="561" t="s">
        <v>284</v>
      </c>
      <c r="C319" s="561" t="s">
        <v>948</v>
      </c>
    </row>
    <row r="320">
      <c r="A320" s="561" t="s">
        <v>949</v>
      </c>
      <c r="B320" s="561" t="s">
        <v>297</v>
      </c>
      <c r="C320" s="561" t="s">
        <v>950</v>
      </c>
    </row>
    <row r="321">
      <c r="A321" s="561" t="s">
        <v>951</v>
      </c>
      <c r="B321" s="561" t="s">
        <v>297</v>
      </c>
      <c r="C321" s="561" t="s">
        <v>952</v>
      </c>
    </row>
    <row r="322">
      <c r="A322" s="561" t="s">
        <v>953</v>
      </c>
      <c r="B322" s="561" t="s">
        <v>297</v>
      </c>
      <c r="C322" s="561" t="s">
        <v>954</v>
      </c>
    </row>
    <row r="323">
      <c r="A323" s="561" t="s">
        <v>955</v>
      </c>
      <c r="B323" s="561" t="s">
        <v>287</v>
      </c>
      <c r="C323" s="561" t="s">
        <v>956</v>
      </c>
    </row>
    <row r="324">
      <c r="A324" s="561" t="s">
        <v>957</v>
      </c>
      <c r="B324" s="561" t="s">
        <v>284</v>
      </c>
      <c r="C324" s="561" t="s">
        <v>958</v>
      </c>
    </row>
    <row r="325">
      <c r="A325" s="561" t="s">
        <v>959</v>
      </c>
      <c r="B325" s="561" t="s">
        <v>284</v>
      </c>
      <c r="C325" s="561" t="s">
        <v>960</v>
      </c>
    </row>
    <row r="326">
      <c r="A326" s="561" t="s">
        <v>961</v>
      </c>
      <c r="B326" s="561" t="s">
        <v>284</v>
      </c>
      <c r="C326" s="561" t="s">
        <v>962</v>
      </c>
    </row>
    <row r="327">
      <c r="A327" s="561" t="s">
        <v>963</v>
      </c>
      <c r="B327" s="561" t="s">
        <v>284</v>
      </c>
      <c r="C327" s="561" t="s">
        <v>964</v>
      </c>
    </row>
    <row r="328">
      <c r="A328" s="561" t="s">
        <v>965</v>
      </c>
      <c r="B328" s="561" t="s">
        <v>284</v>
      </c>
      <c r="C328" s="561" t="s">
        <v>966</v>
      </c>
    </row>
    <row r="329">
      <c r="A329" s="561" t="s">
        <v>967</v>
      </c>
      <c r="B329" s="561" t="s">
        <v>297</v>
      </c>
      <c r="C329" s="561" t="s">
        <v>968</v>
      </c>
    </row>
    <row r="330">
      <c r="A330" s="561" t="s">
        <v>969</v>
      </c>
      <c r="B330" s="561" t="s">
        <v>284</v>
      </c>
      <c r="C330" s="561" t="s">
        <v>970</v>
      </c>
    </row>
    <row r="331">
      <c r="A331" s="561" t="s">
        <v>971</v>
      </c>
      <c r="B331" s="561" t="s">
        <v>275</v>
      </c>
      <c r="C331" s="561" t="s">
        <v>972</v>
      </c>
    </row>
    <row r="332">
      <c r="A332" s="561" t="s">
        <v>973</v>
      </c>
      <c r="B332" s="561" t="s">
        <v>275</v>
      </c>
      <c r="C332" s="561" t="s">
        <v>974</v>
      </c>
    </row>
    <row r="333">
      <c r="A333" s="561" t="s">
        <v>975</v>
      </c>
      <c r="B333" s="561" t="s">
        <v>287</v>
      </c>
      <c r="C333" s="561" t="s">
        <v>976</v>
      </c>
    </row>
    <row r="334">
      <c r="C334" s="564"/>
    </row>
    <row r="335">
      <c r="C335" s="564"/>
    </row>
    <row r="336">
      <c r="C336" s="564"/>
    </row>
    <row r="337">
      <c r="C337" s="564"/>
    </row>
    <row r="338">
      <c r="C338" s="564"/>
    </row>
    <row r="339">
      <c r="C339" s="564"/>
    </row>
    <row r="340">
      <c r="C340" s="564"/>
    </row>
    <row r="341">
      <c r="C341" s="564"/>
    </row>
    <row r="342">
      <c r="C342" s="564"/>
    </row>
    <row r="343">
      <c r="C343" s="564"/>
    </row>
    <row r="344">
      <c r="C344" s="564"/>
    </row>
    <row r="345">
      <c r="C345" s="564"/>
    </row>
    <row r="346">
      <c r="C346" s="564"/>
    </row>
    <row r="347">
      <c r="C347" s="564"/>
    </row>
    <row r="348">
      <c r="C348" s="564"/>
    </row>
    <row r="349">
      <c r="C349" s="564"/>
    </row>
    <row r="350">
      <c r="C350" s="564"/>
    </row>
    <row r="351">
      <c r="C351" s="564"/>
    </row>
    <row r="352">
      <c r="C352" s="564"/>
    </row>
    <row r="353">
      <c r="C353" s="564"/>
    </row>
    <row r="354">
      <c r="C354" s="564"/>
    </row>
    <row r="355">
      <c r="C355" s="564"/>
    </row>
    <row r="356">
      <c r="C356" s="564"/>
    </row>
    <row r="357">
      <c r="C357" s="564"/>
    </row>
    <row r="358">
      <c r="C358" s="564"/>
    </row>
    <row r="359">
      <c r="C359" s="564"/>
    </row>
    <row r="360">
      <c r="C360" s="564"/>
    </row>
    <row r="361">
      <c r="C361" s="564"/>
    </row>
    <row r="362">
      <c r="C362" s="564"/>
    </row>
    <row r="363">
      <c r="C363" s="564"/>
    </row>
    <row r="364">
      <c r="C364" s="564"/>
    </row>
    <row r="365">
      <c r="C365" s="564"/>
    </row>
    <row r="366">
      <c r="C366" s="564"/>
    </row>
    <row r="367">
      <c r="C367" s="564"/>
    </row>
    <row r="368">
      <c r="C368" s="564"/>
    </row>
    <row r="369">
      <c r="C369" s="564"/>
    </row>
    <row r="370">
      <c r="C370" s="564"/>
    </row>
    <row r="371">
      <c r="C371" s="564"/>
    </row>
    <row r="372">
      <c r="C372" s="564"/>
    </row>
    <row r="373">
      <c r="C373" s="564"/>
    </row>
    <row r="374">
      <c r="C374" s="564"/>
    </row>
    <row r="375">
      <c r="C375" s="564"/>
    </row>
    <row r="376">
      <c r="C376" s="564"/>
    </row>
    <row r="377">
      <c r="C377" s="564"/>
    </row>
    <row r="378">
      <c r="C378" s="564"/>
    </row>
    <row r="379">
      <c r="C379" s="564"/>
    </row>
    <row r="380">
      <c r="C380" s="564"/>
    </row>
    <row r="381">
      <c r="C381" s="564"/>
    </row>
    <row r="382">
      <c r="C382" s="564"/>
    </row>
    <row r="383">
      <c r="C383" s="564"/>
    </row>
    <row r="384">
      <c r="C384" s="564"/>
    </row>
    <row r="385">
      <c r="C385" s="564"/>
    </row>
    <row r="386">
      <c r="C386" s="564"/>
    </row>
    <row r="387">
      <c r="C387" s="564"/>
    </row>
    <row r="388">
      <c r="C388" s="564"/>
    </row>
    <row r="389">
      <c r="C389" s="564"/>
    </row>
    <row r="390">
      <c r="C390" s="564"/>
    </row>
    <row r="391">
      <c r="C391" s="564"/>
    </row>
    <row r="392">
      <c r="C392" s="564"/>
    </row>
    <row r="393">
      <c r="C393" s="564"/>
    </row>
    <row r="394">
      <c r="C394" s="564"/>
    </row>
    <row r="395">
      <c r="C395" s="564"/>
    </row>
    <row r="396">
      <c r="C396" s="564"/>
    </row>
    <row r="397">
      <c r="C397" s="564"/>
    </row>
    <row r="398">
      <c r="C398" s="564"/>
    </row>
    <row r="399">
      <c r="C399" s="564"/>
    </row>
    <row r="400">
      <c r="C400" s="564"/>
    </row>
    <row r="401">
      <c r="C401" s="564"/>
    </row>
    <row r="402">
      <c r="C402" s="564"/>
    </row>
    <row r="403">
      <c r="C403" s="564"/>
    </row>
    <row r="404">
      <c r="C404" s="564"/>
    </row>
    <row r="405">
      <c r="C405" s="564"/>
    </row>
    <row r="406">
      <c r="C406" s="564"/>
    </row>
    <row r="407">
      <c r="C407" s="564"/>
    </row>
    <row r="408">
      <c r="C408" s="564"/>
    </row>
    <row r="409">
      <c r="C409" s="564"/>
    </row>
    <row r="410">
      <c r="C410" s="564"/>
    </row>
    <row r="411">
      <c r="C411" s="564"/>
    </row>
    <row r="412">
      <c r="C412" s="564"/>
    </row>
    <row r="413">
      <c r="C413" s="564"/>
    </row>
    <row r="414">
      <c r="C414" s="564"/>
    </row>
    <row r="415">
      <c r="C415" s="564"/>
    </row>
    <row r="416">
      <c r="C416" s="564"/>
    </row>
    <row r="417">
      <c r="C417" s="564"/>
    </row>
    <row r="418">
      <c r="C418" s="564"/>
    </row>
    <row r="419">
      <c r="C419" s="564"/>
    </row>
    <row r="420">
      <c r="C420" s="564"/>
    </row>
    <row r="421">
      <c r="C421" s="564"/>
    </row>
    <row r="422">
      <c r="C422" s="564"/>
    </row>
    <row r="423">
      <c r="C423" s="564"/>
    </row>
    <row r="424">
      <c r="C424" s="564"/>
    </row>
    <row r="425">
      <c r="C425" s="564"/>
    </row>
    <row r="426">
      <c r="C426" s="564"/>
    </row>
    <row r="427">
      <c r="C427" s="564"/>
    </row>
    <row r="428">
      <c r="C428" s="564"/>
    </row>
    <row r="429">
      <c r="C429" s="564"/>
    </row>
    <row r="430">
      <c r="C430" s="564"/>
    </row>
    <row r="431">
      <c r="C431" s="564"/>
    </row>
    <row r="432">
      <c r="C432" s="564"/>
    </row>
    <row r="433">
      <c r="C433" s="564"/>
    </row>
    <row r="434">
      <c r="C434" s="564"/>
    </row>
    <row r="435">
      <c r="C435" s="564"/>
    </row>
    <row r="436">
      <c r="C436" s="564"/>
    </row>
    <row r="437">
      <c r="C437" s="564"/>
    </row>
    <row r="438">
      <c r="C438" s="564"/>
    </row>
    <row r="439">
      <c r="C439" s="564"/>
    </row>
    <row r="440">
      <c r="C440" s="564"/>
    </row>
    <row r="441">
      <c r="C441" s="564"/>
    </row>
    <row r="442">
      <c r="C442" s="564"/>
    </row>
    <row r="443">
      <c r="C443" s="564"/>
    </row>
    <row r="444">
      <c r="C444" s="564"/>
    </row>
    <row r="445">
      <c r="C445" s="564"/>
    </row>
    <row r="446">
      <c r="C446" s="564"/>
    </row>
    <row r="447">
      <c r="C447" s="564"/>
    </row>
    <row r="448">
      <c r="C448" s="564"/>
    </row>
    <row r="449">
      <c r="C449" s="564"/>
    </row>
    <row r="450">
      <c r="C450" s="564"/>
    </row>
    <row r="451">
      <c r="C451" s="564"/>
    </row>
    <row r="452">
      <c r="C452" s="564"/>
    </row>
    <row r="453">
      <c r="C453" s="564"/>
    </row>
    <row r="454">
      <c r="C454" s="564"/>
    </row>
    <row r="455">
      <c r="C455" s="564"/>
    </row>
    <row r="456">
      <c r="C456" s="564"/>
    </row>
    <row r="457">
      <c r="C457" s="564"/>
    </row>
    <row r="458">
      <c r="C458" s="564"/>
    </row>
    <row r="459">
      <c r="C459" s="564"/>
    </row>
    <row r="460">
      <c r="C460" s="564"/>
    </row>
    <row r="461">
      <c r="C461" s="564"/>
    </row>
    <row r="462">
      <c r="C462" s="564"/>
    </row>
    <row r="463">
      <c r="C463" s="564"/>
    </row>
    <row r="464">
      <c r="C464" s="564"/>
    </row>
    <row r="465">
      <c r="C465" s="564"/>
    </row>
    <row r="466">
      <c r="C466" s="564"/>
    </row>
    <row r="467">
      <c r="C467" s="564"/>
    </row>
    <row r="468">
      <c r="C468" s="564"/>
    </row>
    <row r="469">
      <c r="C469" s="564"/>
    </row>
    <row r="470">
      <c r="C470" s="564"/>
    </row>
    <row r="471">
      <c r="C471" s="564"/>
    </row>
    <row r="472">
      <c r="C472" s="564"/>
    </row>
    <row r="473">
      <c r="C473" s="564"/>
    </row>
    <row r="474">
      <c r="C474" s="564"/>
    </row>
    <row r="475">
      <c r="C475" s="564"/>
    </row>
    <row r="476">
      <c r="C476" s="564"/>
    </row>
    <row r="477">
      <c r="C477" s="564"/>
    </row>
    <row r="478">
      <c r="C478" s="564"/>
    </row>
    <row r="479">
      <c r="C479" s="564"/>
    </row>
    <row r="480">
      <c r="C480" s="564"/>
    </row>
    <row r="481">
      <c r="C481" s="564"/>
    </row>
    <row r="482">
      <c r="C482" s="564"/>
    </row>
    <row r="483">
      <c r="C483" s="564"/>
    </row>
    <row r="484">
      <c r="C484" s="564"/>
    </row>
    <row r="485">
      <c r="C485" s="564"/>
    </row>
    <row r="486">
      <c r="C486" s="564"/>
    </row>
    <row r="487">
      <c r="C487" s="564"/>
    </row>
    <row r="488">
      <c r="C488" s="564"/>
    </row>
    <row r="489">
      <c r="C489" s="564"/>
    </row>
    <row r="490">
      <c r="C490" s="564"/>
    </row>
    <row r="491">
      <c r="C491" s="564"/>
    </row>
    <row r="492">
      <c r="C492" s="564"/>
    </row>
    <row r="493">
      <c r="C493" s="564"/>
    </row>
    <row r="494">
      <c r="C494" s="564"/>
    </row>
    <row r="495">
      <c r="C495" s="564"/>
    </row>
    <row r="496">
      <c r="C496" s="564"/>
    </row>
    <row r="497">
      <c r="C497" s="564"/>
    </row>
    <row r="498">
      <c r="C498" s="564"/>
    </row>
    <row r="499">
      <c r="C499" s="564"/>
    </row>
    <row r="500">
      <c r="C500" s="564"/>
    </row>
    <row r="501">
      <c r="C501" s="564"/>
    </row>
    <row r="502">
      <c r="C502" s="564"/>
    </row>
    <row r="503">
      <c r="C503" s="564"/>
    </row>
    <row r="504">
      <c r="C504" s="564"/>
    </row>
    <row r="505">
      <c r="C505" s="564"/>
    </row>
    <row r="506">
      <c r="C506" s="564"/>
    </row>
    <row r="507">
      <c r="C507" s="564"/>
    </row>
    <row r="508">
      <c r="C508" s="564"/>
    </row>
    <row r="509">
      <c r="C509" s="564"/>
    </row>
    <row r="510">
      <c r="C510" s="564"/>
    </row>
    <row r="511">
      <c r="C511" s="564"/>
    </row>
    <row r="512">
      <c r="C512" s="564"/>
    </row>
    <row r="513">
      <c r="C513" s="564"/>
    </row>
    <row r="514">
      <c r="C514" s="564"/>
    </row>
    <row r="515">
      <c r="C515" s="564"/>
    </row>
    <row r="516">
      <c r="C516" s="564"/>
    </row>
    <row r="517">
      <c r="C517" s="564"/>
    </row>
    <row r="518">
      <c r="C518" s="564"/>
    </row>
    <row r="519">
      <c r="C519" s="564"/>
    </row>
    <row r="520">
      <c r="C520" s="564"/>
    </row>
    <row r="521">
      <c r="C521" s="564"/>
    </row>
    <row r="522">
      <c r="C522" s="564"/>
    </row>
    <row r="523">
      <c r="C523" s="564"/>
    </row>
    <row r="524">
      <c r="C524" s="564"/>
    </row>
    <row r="525">
      <c r="C525" s="564"/>
    </row>
    <row r="526">
      <c r="C526" s="564"/>
    </row>
    <row r="527">
      <c r="C527" s="564"/>
    </row>
    <row r="528">
      <c r="C528" s="564"/>
    </row>
    <row r="529">
      <c r="C529" s="564"/>
    </row>
    <row r="530">
      <c r="C530" s="564"/>
    </row>
    <row r="531">
      <c r="C531" s="564"/>
    </row>
    <row r="532">
      <c r="C532" s="564"/>
    </row>
    <row r="533">
      <c r="C533" s="564"/>
    </row>
    <row r="534">
      <c r="C534" s="564"/>
    </row>
    <row r="535">
      <c r="C535" s="564"/>
    </row>
    <row r="536">
      <c r="C536" s="564"/>
    </row>
    <row r="537">
      <c r="C537" s="564"/>
    </row>
    <row r="538">
      <c r="C538" s="564"/>
    </row>
    <row r="539">
      <c r="C539" s="564"/>
    </row>
    <row r="540">
      <c r="C540" s="564"/>
    </row>
    <row r="541">
      <c r="C541" s="564"/>
    </row>
    <row r="542">
      <c r="C542" s="564"/>
    </row>
    <row r="543">
      <c r="C543" s="564"/>
    </row>
    <row r="544">
      <c r="C544" s="564"/>
    </row>
    <row r="545">
      <c r="C545" s="564"/>
    </row>
    <row r="546">
      <c r="C546" s="564"/>
    </row>
    <row r="547">
      <c r="C547" s="564"/>
    </row>
    <row r="548">
      <c r="C548" s="564"/>
    </row>
    <row r="549">
      <c r="C549" s="564"/>
    </row>
    <row r="550">
      <c r="C550" s="564"/>
    </row>
    <row r="551">
      <c r="C551" s="564"/>
    </row>
    <row r="552">
      <c r="C552" s="564"/>
    </row>
    <row r="553">
      <c r="C553" s="564"/>
    </row>
    <row r="554">
      <c r="C554" s="564"/>
    </row>
    <row r="555">
      <c r="C555" s="564"/>
    </row>
    <row r="556">
      <c r="C556" s="564"/>
    </row>
    <row r="557">
      <c r="C557" s="564"/>
    </row>
    <row r="558">
      <c r="C558" s="564"/>
    </row>
    <row r="559">
      <c r="C559" s="564"/>
    </row>
    <row r="560">
      <c r="C560" s="564"/>
    </row>
    <row r="561">
      <c r="C561" s="564"/>
    </row>
    <row r="562">
      <c r="C562" s="564"/>
    </row>
    <row r="563">
      <c r="C563" s="564"/>
    </row>
    <row r="564">
      <c r="C564" s="564"/>
    </row>
    <row r="565">
      <c r="C565" s="564"/>
    </row>
    <row r="566">
      <c r="C566" s="564"/>
    </row>
    <row r="567">
      <c r="C567" s="564"/>
    </row>
    <row r="568">
      <c r="C568" s="564"/>
    </row>
    <row r="569">
      <c r="C569" s="564"/>
    </row>
    <row r="570">
      <c r="C570" s="564"/>
    </row>
    <row r="571">
      <c r="C571" s="564"/>
    </row>
    <row r="572">
      <c r="C572" s="564"/>
    </row>
    <row r="573">
      <c r="C573" s="564"/>
    </row>
    <row r="574">
      <c r="C574" s="564"/>
    </row>
    <row r="575">
      <c r="C575" s="564"/>
    </row>
    <row r="576">
      <c r="C576" s="564"/>
    </row>
    <row r="577">
      <c r="C577" s="564"/>
    </row>
    <row r="578">
      <c r="C578" s="564"/>
    </row>
    <row r="579">
      <c r="C579" s="564"/>
    </row>
    <row r="580">
      <c r="C580" s="564"/>
    </row>
    <row r="581">
      <c r="C581" s="564"/>
    </row>
    <row r="582">
      <c r="C582" s="564"/>
    </row>
    <row r="583">
      <c r="C583" s="564"/>
    </row>
    <row r="584">
      <c r="C584" s="564"/>
    </row>
    <row r="585">
      <c r="C585" s="564"/>
    </row>
    <row r="586">
      <c r="C586" s="564"/>
    </row>
    <row r="587">
      <c r="C587" s="564"/>
    </row>
    <row r="588">
      <c r="C588" s="564"/>
    </row>
    <row r="589">
      <c r="C589" s="564"/>
    </row>
    <row r="590">
      <c r="C590" s="564"/>
    </row>
    <row r="591">
      <c r="C591" s="564"/>
    </row>
    <row r="592">
      <c r="C592" s="564"/>
    </row>
    <row r="593">
      <c r="C593" s="564"/>
    </row>
    <row r="594">
      <c r="C594" s="564"/>
    </row>
    <row r="595">
      <c r="C595" s="564"/>
    </row>
    <row r="596">
      <c r="C596" s="564"/>
    </row>
    <row r="597">
      <c r="C597" s="564"/>
    </row>
    <row r="598">
      <c r="C598" s="564"/>
    </row>
    <row r="599">
      <c r="C599" s="564"/>
    </row>
    <row r="600">
      <c r="C600" s="564"/>
    </row>
    <row r="601">
      <c r="C601" s="564"/>
    </row>
    <row r="602">
      <c r="C602" s="564"/>
    </row>
    <row r="603">
      <c r="C603" s="564"/>
    </row>
    <row r="604">
      <c r="C604" s="564"/>
    </row>
    <row r="605">
      <c r="C605" s="564"/>
    </row>
    <row r="606">
      <c r="C606" s="564"/>
    </row>
    <row r="607">
      <c r="C607" s="564"/>
    </row>
    <row r="608">
      <c r="C608" s="564"/>
    </row>
    <row r="609">
      <c r="C609" s="564"/>
    </row>
    <row r="610">
      <c r="C610" s="564"/>
    </row>
    <row r="611">
      <c r="C611" s="564"/>
    </row>
    <row r="612">
      <c r="C612" s="564"/>
    </row>
    <row r="613">
      <c r="C613" s="564"/>
    </row>
    <row r="614">
      <c r="C614" s="564"/>
    </row>
    <row r="615">
      <c r="C615" s="564"/>
    </row>
    <row r="616">
      <c r="C616" s="564"/>
    </row>
    <row r="617">
      <c r="C617" s="564"/>
    </row>
    <row r="618">
      <c r="C618" s="564"/>
    </row>
    <row r="619">
      <c r="C619" s="564"/>
    </row>
    <row r="620">
      <c r="C620" s="564"/>
    </row>
    <row r="621">
      <c r="C621" s="564"/>
    </row>
    <row r="622">
      <c r="C622" s="564"/>
    </row>
    <row r="623">
      <c r="C623" s="564"/>
    </row>
    <row r="624">
      <c r="C624" s="564"/>
    </row>
    <row r="625">
      <c r="C625" s="564"/>
    </row>
    <row r="626">
      <c r="C626" s="564"/>
    </row>
    <row r="627">
      <c r="C627" s="564"/>
    </row>
    <row r="628">
      <c r="C628" s="564"/>
    </row>
    <row r="629">
      <c r="C629" s="564"/>
    </row>
    <row r="630">
      <c r="C630" s="564"/>
    </row>
    <row r="631">
      <c r="C631" s="564"/>
    </row>
    <row r="632">
      <c r="C632" s="564"/>
    </row>
    <row r="633">
      <c r="C633" s="564"/>
    </row>
    <row r="634">
      <c r="C634" s="564"/>
    </row>
    <row r="635">
      <c r="C635" s="564"/>
    </row>
    <row r="636">
      <c r="C636" s="564"/>
    </row>
    <row r="637">
      <c r="C637" s="564"/>
    </row>
    <row r="638">
      <c r="C638" s="564"/>
    </row>
    <row r="639">
      <c r="C639" s="564"/>
    </row>
    <row r="640">
      <c r="C640" s="564"/>
    </row>
    <row r="641">
      <c r="C641" s="564"/>
    </row>
    <row r="642">
      <c r="C642" s="564"/>
    </row>
    <row r="643">
      <c r="C643" s="564"/>
    </row>
    <row r="644">
      <c r="C644" s="564"/>
    </row>
    <row r="645">
      <c r="C645" s="564"/>
    </row>
    <row r="646">
      <c r="C646" s="564"/>
    </row>
    <row r="647">
      <c r="C647" s="564"/>
    </row>
    <row r="648">
      <c r="C648" s="564"/>
    </row>
    <row r="649">
      <c r="C649" s="564"/>
    </row>
    <row r="650">
      <c r="C650" s="564"/>
    </row>
    <row r="651">
      <c r="C651" s="564"/>
    </row>
    <row r="652">
      <c r="C652" s="564"/>
    </row>
    <row r="653">
      <c r="C653" s="564"/>
    </row>
    <row r="654">
      <c r="C654" s="564"/>
    </row>
    <row r="655">
      <c r="C655" s="564"/>
    </row>
    <row r="656">
      <c r="C656" s="564"/>
    </row>
    <row r="657">
      <c r="C657" s="564"/>
    </row>
    <row r="658">
      <c r="C658" s="564"/>
    </row>
    <row r="659">
      <c r="C659" s="564"/>
    </row>
    <row r="660">
      <c r="C660" s="564"/>
    </row>
    <row r="661">
      <c r="C661" s="564"/>
    </row>
    <row r="662">
      <c r="C662" s="564"/>
    </row>
    <row r="663">
      <c r="C663" s="564"/>
    </row>
    <row r="664">
      <c r="C664" s="564"/>
    </row>
    <row r="665">
      <c r="C665" s="564"/>
    </row>
    <row r="666">
      <c r="C666" s="564"/>
    </row>
    <row r="667">
      <c r="C667" s="564"/>
    </row>
    <row r="668">
      <c r="C668" s="564"/>
    </row>
    <row r="669">
      <c r="C669" s="564"/>
    </row>
    <row r="670">
      <c r="C670" s="564"/>
    </row>
    <row r="671">
      <c r="C671" s="564"/>
    </row>
    <row r="672">
      <c r="C672" s="564"/>
    </row>
    <row r="673">
      <c r="C673" s="564"/>
    </row>
    <row r="674">
      <c r="C674" s="564"/>
    </row>
    <row r="675">
      <c r="C675" s="564"/>
    </row>
    <row r="676">
      <c r="C676" s="564"/>
    </row>
    <row r="677">
      <c r="C677" s="564"/>
    </row>
    <row r="678">
      <c r="C678" s="564"/>
    </row>
    <row r="679">
      <c r="C679" s="564"/>
    </row>
    <row r="680">
      <c r="C680" s="564"/>
    </row>
    <row r="681">
      <c r="C681" s="564"/>
    </row>
    <row r="682">
      <c r="C682" s="564"/>
    </row>
    <row r="683">
      <c r="C683" s="564"/>
    </row>
    <row r="684">
      <c r="C684" s="564"/>
    </row>
    <row r="685">
      <c r="C685" s="564"/>
    </row>
    <row r="686">
      <c r="C686" s="564"/>
    </row>
    <row r="687">
      <c r="C687" s="564"/>
    </row>
    <row r="688">
      <c r="C688" s="564"/>
    </row>
    <row r="689">
      <c r="C689" s="564"/>
    </row>
    <row r="690">
      <c r="C690" s="564"/>
    </row>
    <row r="691">
      <c r="C691" s="564"/>
    </row>
    <row r="692">
      <c r="C692" s="564"/>
    </row>
    <row r="693">
      <c r="C693" s="564"/>
    </row>
    <row r="694">
      <c r="C694" s="564"/>
    </row>
    <row r="695">
      <c r="C695" s="564"/>
    </row>
    <row r="696">
      <c r="C696" s="564"/>
    </row>
    <row r="697">
      <c r="C697" s="564"/>
    </row>
    <row r="698">
      <c r="C698" s="564"/>
    </row>
    <row r="699">
      <c r="C699" s="564"/>
    </row>
    <row r="700">
      <c r="C700" s="564"/>
    </row>
    <row r="701">
      <c r="C701" s="564"/>
    </row>
    <row r="702">
      <c r="C702" s="564"/>
    </row>
    <row r="703">
      <c r="C703" s="564"/>
    </row>
    <row r="704">
      <c r="C704" s="564"/>
    </row>
    <row r="705">
      <c r="C705" s="564"/>
    </row>
    <row r="706">
      <c r="C706" s="564"/>
    </row>
    <row r="707">
      <c r="C707" s="564"/>
    </row>
    <row r="708">
      <c r="C708" s="564"/>
    </row>
    <row r="709">
      <c r="C709" s="564"/>
    </row>
    <row r="710">
      <c r="C710" s="564"/>
    </row>
    <row r="711">
      <c r="C711" s="564"/>
    </row>
    <row r="712">
      <c r="C712" s="564"/>
    </row>
    <row r="713">
      <c r="C713" s="564"/>
    </row>
    <row r="714">
      <c r="C714" s="564"/>
    </row>
    <row r="715">
      <c r="C715" s="564"/>
    </row>
    <row r="716">
      <c r="C716" s="564"/>
    </row>
    <row r="717">
      <c r="C717" s="564"/>
    </row>
    <row r="718">
      <c r="C718" s="564"/>
    </row>
    <row r="719">
      <c r="C719" s="564"/>
    </row>
    <row r="720">
      <c r="C720" s="564"/>
    </row>
    <row r="721">
      <c r="C721" s="564"/>
    </row>
    <row r="722">
      <c r="C722" s="564"/>
    </row>
    <row r="723">
      <c r="C723" s="564"/>
    </row>
    <row r="724">
      <c r="C724" s="564"/>
    </row>
    <row r="725">
      <c r="C725" s="564"/>
    </row>
    <row r="726">
      <c r="C726" s="564"/>
    </row>
    <row r="727">
      <c r="C727" s="564"/>
    </row>
    <row r="728">
      <c r="C728" s="564"/>
    </row>
    <row r="729">
      <c r="C729" s="564"/>
    </row>
    <row r="730">
      <c r="C730" s="564"/>
    </row>
    <row r="731">
      <c r="C731" s="564"/>
    </row>
    <row r="732">
      <c r="C732" s="564"/>
    </row>
    <row r="733">
      <c r="C733" s="564"/>
    </row>
    <row r="734">
      <c r="C734" s="564"/>
    </row>
    <row r="735">
      <c r="C735" s="564"/>
    </row>
    <row r="736">
      <c r="C736" s="564"/>
    </row>
    <row r="737">
      <c r="C737" s="564"/>
    </row>
    <row r="738">
      <c r="C738" s="564"/>
    </row>
    <row r="739">
      <c r="C739" s="564"/>
    </row>
    <row r="740">
      <c r="C740" s="564"/>
    </row>
    <row r="741">
      <c r="C741" s="564"/>
    </row>
    <row r="742">
      <c r="C742" s="564"/>
    </row>
    <row r="743">
      <c r="C743" s="564"/>
    </row>
    <row r="744">
      <c r="C744" s="564"/>
    </row>
    <row r="745">
      <c r="C745" s="564"/>
    </row>
    <row r="746">
      <c r="C746" s="564"/>
    </row>
    <row r="747">
      <c r="C747" s="564"/>
    </row>
    <row r="748">
      <c r="C748" s="564"/>
    </row>
    <row r="749">
      <c r="C749" s="564"/>
    </row>
    <row r="750">
      <c r="C750" s="564"/>
    </row>
    <row r="751">
      <c r="C751" s="564"/>
    </row>
    <row r="752">
      <c r="C752" s="564"/>
    </row>
    <row r="753">
      <c r="C753" s="564"/>
    </row>
    <row r="754">
      <c r="C754" s="564"/>
    </row>
    <row r="755">
      <c r="C755" s="564"/>
    </row>
    <row r="756">
      <c r="C756" s="564"/>
    </row>
    <row r="757">
      <c r="C757" s="564"/>
    </row>
    <row r="758">
      <c r="C758" s="564"/>
    </row>
    <row r="759">
      <c r="C759" s="564"/>
    </row>
    <row r="760">
      <c r="C760" s="564"/>
    </row>
    <row r="761">
      <c r="C761" s="564"/>
    </row>
    <row r="762">
      <c r="C762" s="564"/>
    </row>
    <row r="763">
      <c r="C763" s="564"/>
    </row>
    <row r="764">
      <c r="C764" s="564"/>
    </row>
    <row r="765">
      <c r="C765" s="564"/>
    </row>
    <row r="766">
      <c r="C766" s="564"/>
    </row>
    <row r="767">
      <c r="C767" s="564"/>
    </row>
    <row r="768">
      <c r="C768" s="564"/>
    </row>
    <row r="769">
      <c r="C769" s="564"/>
    </row>
    <row r="770">
      <c r="C770" s="564"/>
    </row>
    <row r="771">
      <c r="C771" s="564"/>
    </row>
    <row r="772">
      <c r="C772" s="564"/>
    </row>
    <row r="773">
      <c r="C773" s="564"/>
    </row>
    <row r="774">
      <c r="C774" s="564"/>
    </row>
    <row r="775">
      <c r="C775" s="564"/>
    </row>
    <row r="776">
      <c r="C776" s="564"/>
    </row>
    <row r="777">
      <c r="C777" s="564"/>
    </row>
    <row r="778">
      <c r="C778" s="564"/>
    </row>
    <row r="779">
      <c r="C779" s="564"/>
    </row>
    <row r="780">
      <c r="C780" s="564"/>
    </row>
    <row r="781">
      <c r="C781" s="564"/>
    </row>
    <row r="782">
      <c r="C782" s="564"/>
    </row>
    <row r="783">
      <c r="C783" s="564"/>
    </row>
    <row r="784">
      <c r="C784" s="564"/>
    </row>
    <row r="785">
      <c r="C785" s="564"/>
    </row>
    <row r="786">
      <c r="C786" s="564"/>
    </row>
    <row r="787">
      <c r="C787" s="564"/>
    </row>
    <row r="788">
      <c r="C788" s="564"/>
    </row>
    <row r="789">
      <c r="C789" s="564"/>
    </row>
    <row r="790">
      <c r="C790" s="564"/>
    </row>
    <row r="791">
      <c r="C791" s="564"/>
    </row>
    <row r="792">
      <c r="C792" s="564"/>
    </row>
    <row r="793">
      <c r="C793" s="564"/>
    </row>
    <row r="794">
      <c r="C794" s="564"/>
    </row>
    <row r="795">
      <c r="C795" s="564"/>
    </row>
    <row r="796">
      <c r="C796" s="564"/>
    </row>
    <row r="797">
      <c r="C797" s="564"/>
    </row>
    <row r="798">
      <c r="C798" s="564"/>
    </row>
    <row r="799">
      <c r="C799" s="564"/>
    </row>
    <row r="800">
      <c r="C800" s="564"/>
    </row>
    <row r="801">
      <c r="C801" s="564"/>
    </row>
    <row r="802">
      <c r="C802" s="564"/>
    </row>
    <row r="803">
      <c r="C803" s="564"/>
    </row>
    <row r="804">
      <c r="C804" s="564"/>
    </row>
    <row r="805">
      <c r="C805" s="564"/>
    </row>
    <row r="806">
      <c r="C806" s="564"/>
    </row>
    <row r="807">
      <c r="C807" s="564"/>
    </row>
    <row r="808">
      <c r="C808" s="564"/>
    </row>
    <row r="809">
      <c r="C809" s="564"/>
    </row>
    <row r="810">
      <c r="C810" s="564"/>
    </row>
    <row r="811">
      <c r="C811" s="564"/>
    </row>
    <row r="812">
      <c r="C812" s="564"/>
    </row>
    <row r="813">
      <c r="C813" s="564"/>
    </row>
    <row r="814">
      <c r="C814" s="564"/>
    </row>
    <row r="815">
      <c r="C815" s="564"/>
    </row>
    <row r="816">
      <c r="C816" s="564"/>
    </row>
    <row r="817">
      <c r="C817" s="564"/>
    </row>
    <row r="818">
      <c r="C818" s="564"/>
    </row>
    <row r="819">
      <c r="C819" s="564"/>
    </row>
    <row r="820">
      <c r="C820" s="564"/>
    </row>
    <row r="821">
      <c r="C821" s="564"/>
    </row>
    <row r="822">
      <c r="C822" s="564"/>
    </row>
    <row r="823">
      <c r="C823" s="564"/>
    </row>
    <row r="824">
      <c r="C824" s="564"/>
    </row>
    <row r="825">
      <c r="C825" s="564"/>
    </row>
    <row r="826">
      <c r="C826" s="564"/>
    </row>
    <row r="827">
      <c r="C827" s="564"/>
    </row>
    <row r="828">
      <c r="C828" s="564"/>
    </row>
    <row r="829">
      <c r="C829" s="564"/>
    </row>
    <row r="830">
      <c r="C830" s="564"/>
    </row>
    <row r="831">
      <c r="C831" s="564"/>
    </row>
    <row r="832">
      <c r="C832" s="564"/>
    </row>
    <row r="833">
      <c r="C833" s="564"/>
    </row>
    <row r="834">
      <c r="C834" s="564"/>
    </row>
    <row r="835">
      <c r="C835" s="564"/>
    </row>
    <row r="836">
      <c r="C836" s="564"/>
    </row>
    <row r="837">
      <c r="C837" s="564"/>
    </row>
    <row r="838">
      <c r="C838" s="564"/>
    </row>
    <row r="839">
      <c r="C839" s="564"/>
    </row>
    <row r="840">
      <c r="C840" s="564"/>
    </row>
    <row r="841">
      <c r="C841" s="564"/>
    </row>
    <row r="842">
      <c r="C842" s="564"/>
    </row>
    <row r="843">
      <c r="C843" s="564"/>
    </row>
    <row r="844">
      <c r="C844" s="564"/>
    </row>
    <row r="845">
      <c r="C845" s="564"/>
    </row>
    <row r="846">
      <c r="C846" s="564"/>
    </row>
    <row r="847">
      <c r="C847" s="564"/>
    </row>
    <row r="848">
      <c r="C848" s="564"/>
    </row>
    <row r="849">
      <c r="C849" s="564"/>
    </row>
    <row r="850">
      <c r="C850" s="564"/>
    </row>
    <row r="851">
      <c r="C851" s="564"/>
    </row>
    <row r="852">
      <c r="C852" s="564"/>
    </row>
    <row r="853">
      <c r="C853" s="564"/>
    </row>
    <row r="854">
      <c r="C854" s="564"/>
    </row>
    <row r="855">
      <c r="C855" s="564"/>
    </row>
    <row r="856">
      <c r="C856" s="564"/>
    </row>
    <row r="857">
      <c r="C857" s="564"/>
    </row>
    <row r="858">
      <c r="C858" s="564"/>
    </row>
    <row r="859">
      <c r="C859" s="564"/>
    </row>
    <row r="860">
      <c r="C860" s="564"/>
    </row>
    <row r="861">
      <c r="C861" s="564"/>
    </row>
    <row r="862">
      <c r="C862" s="564"/>
    </row>
    <row r="863">
      <c r="C863" s="564"/>
    </row>
    <row r="864">
      <c r="C864" s="564"/>
    </row>
    <row r="865">
      <c r="C865" s="564"/>
    </row>
    <row r="866">
      <c r="C866" s="564"/>
    </row>
    <row r="867">
      <c r="C867" s="564"/>
    </row>
    <row r="868">
      <c r="C868" s="564"/>
    </row>
    <row r="869">
      <c r="C869" s="564"/>
    </row>
    <row r="870">
      <c r="C870" s="564"/>
    </row>
    <row r="871">
      <c r="C871" s="564"/>
    </row>
    <row r="872">
      <c r="C872" s="564"/>
    </row>
    <row r="873">
      <c r="C873" s="564"/>
    </row>
    <row r="874">
      <c r="C874" s="564"/>
    </row>
    <row r="875">
      <c r="C875" s="564"/>
    </row>
    <row r="876">
      <c r="C876" s="564"/>
    </row>
    <row r="877">
      <c r="C877" s="564"/>
    </row>
    <row r="878">
      <c r="C878" s="564"/>
    </row>
    <row r="879">
      <c r="C879" s="564"/>
    </row>
    <row r="880">
      <c r="C880" s="564"/>
    </row>
    <row r="881">
      <c r="C881" s="564"/>
    </row>
    <row r="882">
      <c r="C882" s="564"/>
    </row>
    <row r="883">
      <c r="C883" s="564"/>
    </row>
    <row r="884">
      <c r="C884" s="564"/>
    </row>
    <row r="885">
      <c r="C885" s="564"/>
    </row>
    <row r="886">
      <c r="C886" s="564"/>
    </row>
    <row r="887">
      <c r="C887" s="564"/>
    </row>
    <row r="888">
      <c r="C888" s="564"/>
    </row>
    <row r="889">
      <c r="C889" s="564"/>
    </row>
    <row r="890">
      <c r="C890" s="564"/>
    </row>
    <row r="891">
      <c r="C891" s="564"/>
    </row>
    <row r="892">
      <c r="C892" s="564"/>
    </row>
    <row r="893">
      <c r="C893" s="564"/>
    </row>
    <row r="894">
      <c r="C894" s="564"/>
    </row>
    <row r="895">
      <c r="C895" s="564"/>
    </row>
    <row r="896">
      <c r="C896" s="564"/>
    </row>
    <row r="897">
      <c r="C897" s="564"/>
    </row>
    <row r="898">
      <c r="C898" s="564"/>
    </row>
    <row r="899">
      <c r="C899" s="564"/>
    </row>
    <row r="900">
      <c r="C900" s="564"/>
    </row>
    <row r="901">
      <c r="C901" s="564"/>
    </row>
    <row r="902">
      <c r="C902" s="564"/>
    </row>
    <row r="903">
      <c r="C903" s="564"/>
    </row>
    <row r="904">
      <c r="C904" s="564"/>
    </row>
    <row r="905">
      <c r="C905" s="564"/>
    </row>
    <row r="906">
      <c r="C906" s="564"/>
    </row>
    <row r="907">
      <c r="C907" s="564"/>
    </row>
    <row r="908">
      <c r="C908" s="564"/>
    </row>
    <row r="909">
      <c r="C909" s="564"/>
    </row>
    <row r="910">
      <c r="C910" s="564"/>
    </row>
    <row r="911">
      <c r="C911" s="564"/>
    </row>
    <row r="912">
      <c r="C912" s="564"/>
    </row>
    <row r="913">
      <c r="C913" s="564"/>
    </row>
    <row r="914">
      <c r="C914" s="564"/>
    </row>
    <row r="915">
      <c r="C915" s="564"/>
    </row>
    <row r="916">
      <c r="C916" s="564"/>
    </row>
    <row r="917">
      <c r="C917" s="564"/>
    </row>
    <row r="918">
      <c r="C918" s="564"/>
    </row>
    <row r="919">
      <c r="C919" s="564"/>
    </row>
    <row r="920">
      <c r="C920" s="564"/>
    </row>
    <row r="921">
      <c r="C921" s="564"/>
    </row>
    <row r="922">
      <c r="C922" s="564"/>
    </row>
    <row r="923">
      <c r="C923" s="564"/>
    </row>
    <row r="924">
      <c r="C924" s="564"/>
    </row>
    <row r="925">
      <c r="C925" s="564"/>
    </row>
    <row r="926">
      <c r="C926" s="564"/>
    </row>
    <row r="927">
      <c r="C927" s="564"/>
    </row>
    <row r="928">
      <c r="C928" s="564"/>
    </row>
    <row r="929">
      <c r="C929" s="564"/>
    </row>
    <row r="930">
      <c r="C930" s="564"/>
    </row>
    <row r="931">
      <c r="C931" s="564"/>
    </row>
    <row r="932">
      <c r="C932" s="564"/>
    </row>
    <row r="933">
      <c r="C933" s="564"/>
    </row>
    <row r="934">
      <c r="C934" s="564"/>
    </row>
    <row r="935">
      <c r="C935" s="564"/>
    </row>
    <row r="936">
      <c r="C936" s="564"/>
    </row>
    <row r="937">
      <c r="C937" s="564"/>
    </row>
    <row r="938">
      <c r="C938" s="564"/>
    </row>
    <row r="939">
      <c r="C939" s="564"/>
    </row>
    <row r="940">
      <c r="C940" s="564"/>
    </row>
    <row r="941">
      <c r="C941" s="564"/>
    </row>
    <row r="942">
      <c r="C942" s="564"/>
    </row>
    <row r="943">
      <c r="C943" s="564"/>
    </row>
    <row r="944">
      <c r="C944" s="564"/>
    </row>
    <row r="945">
      <c r="C945" s="564"/>
    </row>
    <row r="946">
      <c r="C946" s="564"/>
    </row>
    <row r="947">
      <c r="C947" s="564"/>
    </row>
    <row r="948">
      <c r="C948" s="564"/>
    </row>
    <row r="949">
      <c r="C949" s="564"/>
    </row>
    <row r="950">
      <c r="C950" s="564"/>
    </row>
    <row r="951">
      <c r="C951" s="564"/>
    </row>
    <row r="952">
      <c r="C952" s="564"/>
    </row>
    <row r="953">
      <c r="C953" s="564"/>
    </row>
    <row r="954">
      <c r="C954" s="564"/>
    </row>
    <row r="955">
      <c r="C955" s="564"/>
    </row>
    <row r="956">
      <c r="C956" s="564"/>
    </row>
    <row r="957">
      <c r="C957" s="564"/>
    </row>
    <row r="958">
      <c r="C958" s="564"/>
    </row>
    <row r="959">
      <c r="C959" s="564"/>
    </row>
    <row r="960">
      <c r="C960" s="564"/>
    </row>
    <row r="961">
      <c r="C961" s="564"/>
    </row>
    <row r="962">
      <c r="C962" s="564"/>
    </row>
    <row r="963">
      <c r="C963" s="564"/>
    </row>
    <row r="964">
      <c r="C964" s="564"/>
    </row>
    <row r="965">
      <c r="C965" s="564"/>
    </row>
    <row r="966">
      <c r="C966" s="564"/>
    </row>
    <row r="967">
      <c r="C967" s="564"/>
    </row>
    <row r="968">
      <c r="C968" s="564"/>
    </row>
    <row r="969">
      <c r="C969" s="564"/>
    </row>
    <row r="970">
      <c r="C970" s="564"/>
    </row>
    <row r="971">
      <c r="C971" s="564"/>
    </row>
    <row r="972">
      <c r="C972" s="564"/>
    </row>
    <row r="973">
      <c r="C973" s="564"/>
    </row>
    <row r="974">
      <c r="C974" s="564"/>
    </row>
    <row r="975">
      <c r="C975" s="564"/>
    </row>
    <row r="976">
      <c r="C976" s="564"/>
    </row>
    <row r="977">
      <c r="C977" s="564"/>
    </row>
    <row r="978">
      <c r="C978" s="564"/>
    </row>
    <row r="979">
      <c r="C979" s="564"/>
    </row>
    <row r="980">
      <c r="C980" s="564"/>
    </row>
    <row r="981">
      <c r="C981" s="564"/>
    </row>
    <row r="982">
      <c r="C982" s="564"/>
    </row>
    <row r="983">
      <c r="C983" s="564"/>
    </row>
    <row r="984">
      <c r="C984" s="564"/>
    </row>
    <row r="985">
      <c r="C985" s="564"/>
    </row>
    <row r="986">
      <c r="C986" s="564"/>
    </row>
    <row r="987">
      <c r="C987" s="564"/>
    </row>
    <row r="988">
      <c r="C988" s="564"/>
    </row>
    <row r="989">
      <c r="C989" s="564"/>
    </row>
    <row r="990">
      <c r="C990" s="564"/>
    </row>
    <row r="991">
      <c r="C991" s="564"/>
    </row>
    <row r="992">
      <c r="C992" s="564"/>
    </row>
    <row r="993">
      <c r="C993" s="564"/>
    </row>
    <row r="994">
      <c r="C994" s="564"/>
    </row>
    <row r="995">
      <c r="C995" s="564"/>
    </row>
    <row r="996">
      <c r="C996" s="564"/>
    </row>
    <row r="997">
      <c r="C997" s="564"/>
    </row>
    <row r="998">
      <c r="C998" s="564"/>
    </row>
    <row r="999">
      <c r="C999" s="564"/>
    </row>
    <row r="1000">
      <c r="C1000" s="564"/>
    </row>
  </sheetData>
  <drawing r:id="rId1"/>
</worksheet>
</file>